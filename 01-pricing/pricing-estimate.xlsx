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vanrobaeys-my.sharepoint.com/personal/bjorn_pacquet_wopaco_be/Documents/Documenten/Documentatie/Lessen/Eindwerk/"/>
    </mc:Choice>
  </mc:AlternateContent>
  <xr:revisionPtr revIDLastSave="0" documentId="8_{63D151C0-95E9-4902-A0DA-BB1F9255A155}" xr6:coauthVersionLast="47" xr6:coauthVersionMax="47" xr10:uidLastSave="{00000000-0000-0000-0000-000000000000}"/>
  <bookViews>
    <workbookView xWindow="-28920" yWindow="-120" windowWidth="29040" windowHeight="15720" tabRatio="500" firstSheet="2" activeTab="5" xr2:uid="{00000000-000D-0000-FFFF-FFFF00000000}"/>
  </bookViews>
  <sheets>
    <sheet name="Instance Inventaris" sheetId="1" r:id="rId1"/>
    <sheet name="SKU Onderbouwing" sheetId="2" r:id="rId2"/>
    <sheet name="AHB &amp; Reserved Instances" sheetId="3" r:id="rId3"/>
    <sheet name="Dev-Test Omgevingen" sheetId="4" r:id="rId4"/>
    <sheet name="3-Jaar TCO Vergelijking" sheetId="5" r:id="rId5"/>
    <sheet name="Legenda &amp; Aannames" sheetId="6" r:id="rId6"/>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8" i="5" l="1"/>
  <c r="C28" i="5"/>
  <c r="B28" i="5"/>
  <c r="E27" i="5"/>
  <c r="E26" i="5"/>
  <c r="E25" i="5"/>
  <c r="D22" i="5"/>
  <c r="C22" i="5"/>
  <c r="B22" i="5"/>
  <c r="E21" i="5"/>
  <c r="E20" i="5"/>
  <c r="D16" i="5"/>
  <c r="C16" i="5"/>
  <c r="B16" i="5"/>
  <c r="E15" i="5"/>
  <c r="E14" i="5"/>
  <c r="E13" i="5"/>
  <c r="E12" i="5"/>
  <c r="E11" i="5"/>
  <c r="D10" i="5"/>
  <c r="C10" i="5"/>
  <c r="B10" i="5"/>
  <c r="E9" i="5"/>
  <c r="E8" i="5"/>
  <c r="E7" i="5"/>
  <c r="E6" i="5"/>
  <c r="E5" i="5"/>
  <c r="E16" i="4"/>
  <c r="D16" i="4"/>
  <c r="G14" i="4"/>
  <c r="F14" i="4"/>
  <c r="G13" i="4"/>
  <c r="F13" i="4"/>
  <c r="G11" i="4"/>
  <c r="F11" i="4"/>
  <c r="G9" i="4"/>
  <c r="F9" i="4"/>
  <c r="G7" i="4"/>
  <c r="F7" i="4"/>
  <c r="G6" i="4"/>
  <c r="F6" i="4"/>
  <c r="C19" i="3"/>
  <c r="E18" i="3"/>
  <c r="E17" i="3"/>
  <c r="C17" i="3"/>
  <c r="C16" i="3"/>
  <c r="C15" i="3"/>
  <c r="F9" i="3"/>
  <c r="E9" i="3"/>
  <c r="F8" i="3"/>
  <c r="E8" i="3"/>
  <c r="F7" i="3"/>
  <c r="E7" i="3"/>
  <c r="F6" i="3"/>
  <c r="E6" i="3"/>
  <c r="F5" i="3"/>
  <c r="E5" i="3"/>
  <c r="H59" i="1"/>
  <c r="H57" i="1"/>
  <c r="I56" i="1"/>
  <c r="I55" i="1"/>
  <c r="H52" i="1"/>
  <c r="I51" i="1"/>
  <c r="I50" i="1"/>
  <c r="I49" i="1"/>
  <c r="I48" i="1"/>
  <c r="H45" i="1"/>
  <c r="I44" i="1"/>
  <c r="I43" i="1"/>
  <c r="I42" i="1"/>
  <c r="I41" i="1"/>
  <c r="I40" i="1"/>
  <c r="I39" i="1"/>
  <c r="H36" i="1"/>
  <c r="I35" i="1"/>
  <c r="I34" i="1"/>
  <c r="H31" i="1"/>
  <c r="I30" i="1"/>
  <c r="I29" i="1"/>
  <c r="I28" i="1"/>
  <c r="H25" i="1"/>
  <c r="I24" i="1"/>
  <c r="I23" i="1"/>
  <c r="H20" i="1"/>
  <c r="I19" i="1"/>
  <c r="I18" i="1"/>
  <c r="I17" i="1"/>
  <c r="I16" i="1"/>
  <c r="I15" i="1"/>
  <c r="I12" i="1"/>
  <c r="H12" i="1"/>
  <c r="I11" i="1"/>
  <c r="I10" i="1"/>
  <c r="I9" i="1"/>
  <c r="I8" i="1"/>
  <c r="I7" i="1"/>
  <c r="I6" i="1"/>
  <c r="I5" i="1"/>
  <c r="E19" i="3" l="1"/>
  <c r="F19" i="3" s="1"/>
  <c r="G19" i="3" s="1"/>
  <c r="F18" i="3"/>
  <c r="G18" i="3" s="1"/>
  <c r="G9" i="3"/>
  <c r="G8" i="3"/>
  <c r="G6" i="3"/>
  <c r="F24" i="3"/>
  <c r="H60" i="1"/>
  <c r="I60" i="1" s="1"/>
  <c r="I59" i="1"/>
  <c r="I20" i="1"/>
  <c r="I25" i="1"/>
  <c r="C33" i="5"/>
  <c r="H61" i="1"/>
  <c r="I61" i="1" s="1"/>
  <c r="I52" i="1"/>
  <c r="E15" i="3"/>
  <c r="F15" i="3" s="1"/>
  <c r="F10" i="3"/>
  <c r="G5" i="3"/>
  <c r="D33" i="5"/>
  <c r="E10" i="5"/>
  <c r="F17" i="3"/>
  <c r="G17" i="3" s="1"/>
  <c r="E16" i="3"/>
  <c r="F16" i="3" s="1"/>
  <c r="G16" i="3" s="1"/>
  <c r="G15" i="3"/>
  <c r="G7" i="3"/>
  <c r="I57" i="1"/>
  <c r="I31" i="1"/>
  <c r="B33" i="5"/>
  <c r="E33" i="5" s="1"/>
  <c r="G16" i="4"/>
  <c r="F16" i="4"/>
  <c r="E28" i="5"/>
  <c r="E22" i="5"/>
  <c r="D17" i="5"/>
  <c r="C17" i="5"/>
  <c r="B17" i="5"/>
  <c r="E16" i="5"/>
  <c r="I45" i="1"/>
  <c r="I36" i="1"/>
  <c r="F25" i="3" l="1"/>
  <c r="G10" i="3"/>
  <c r="D31" i="5"/>
  <c r="D32" i="5"/>
  <c r="C31" i="5"/>
  <c r="C32" i="5"/>
  <c r="B31" i="5"/>
  <c r="E31" i="5" s="1"/>
  <c r="B32" i="5"/>
  <c r="E32" i="5" s="1"/>
  <c r="E17" i="5"/>
  <c r="F20" i="3"/>
  <c r="F28" i="5" l="1"/>
  <c r="F33" i="5"/>
  <c r="F22" i="5"/>
  <c r="F26" i="3"/>
  <c r="F27" i="3" s="1"/>
  <c r="G27" i="3" s="1"/>
  <c r="G20" i="3"/>
  <c r="F31" i="5"/>
  <c r="F32" i="5"/>
</calcChain>
</file>

<file path=xl/sharedStrings.xml><?xml version="1.0" encoding="utf-8"?>
<sst xmlns="http://schemas.openxmlformats.org/spreadsheetml/2006/main" count="543" uniqueCount="482">
  <si>
    <t>Contoso Manufacturing — Instance Inventaris | Azure Landing Zone &amp; Application Platform</t>
  </si>
  <si>
    <t>Alle instances uit de Platform Landing Zone en Application Platform | West Europe (primair) | North Europe (DR) | Prijzen 2025 PAYG | Blauw = invoer · Zwart = formule</t>
  </si>
  <si>
    <t>#</t>
  </si>
  <si>
    <t>Resource / Instance</t>
  </si>
  <si>
    <t>SKU / Configuratie</t>
  </si>
  <si>
    <t>Categorie</t>
  </si>
  <si>
    <t>Zone / Subscriptie</t>
  </si>
  <si>
    <t>Reden van keuze voor deze SKU</t>
  </si>
  <si>
    <t>Vervangt on-premises</t>
  </si>
  <si>
    <t>Per maand (€)</t>
  </si>
  <si>
    <t>Per jaar (€)</t>
  </si>
  <si>
    <t xml:space="preserve">  NETWERK</t>
  </si>
  <si>
    <t>Azure Firewall Premium</t>
  </si>
  <si>
    <t>Premium · IDPS · TLS-inspectie · Threat intel · Hub VNet</t>
  </si>
  <si>
    <t>Netwerk</t>
  </si>
  <si>
    <t>Platform — Connectivity</t>
  </si>
  <si>
    <t>Premium-tier is ALZ v2-vereiste voor IDPS en TLS-inspectie op netwerkniveau. Centraliseert al het egress-verkeer van alle spokes via UDR — geen aparte firewall per subscriptie nodig. Threat intel blokkeert bekende kwaadaardige IP's automatisch.</t>
  </si>
  <si>
    <t>NSG-only beveiliging — geen diepgaande packet inspection, geen TLS-inspectie, geen threat intelligence feed</t>
  </si>
  <si>
    <t>Application Gateway WAF v2</t>
  </si>
  <si>
    <t>WAF_v2 · 1 inst. · 10 CU · SSL offload · OWASP · pip-agw-prd</t>
  </si>
  <si>
    <t>Corp — Contoso-Prod (perimeter)</t>
  </si>
  <si>
    <t>WAF v2 combineert load balancing, SSL/TLS-offload en OWASP CRS 3.2 ruleset in één managed service. Automatisch schaalbaar op basis van Capacity Units. Vervangt EOL F5 BIG-IP zonder applicatiewijzigingen.</t>
  </si>
  <si>
    <t>F5 BIG-IP Load Balancer (EOL 2025) — hardware appliance, manueel geconfigureerd, dure jaarlijkse support-licentie</t>
  </si>
  <si>
    <t>VPN Gateway VpnGw2</t>
  </si>
  <si>
    <t>Route-based · BGP AS 65001 · IKEv2 · S2S × 3 sites · actief-passief</t>
  </si>
  <si>
    <t>VpnGw2 biedt 1 Gbps geaggregeerde throughput voor S2S-verbindingen naar Gent, Luik en Hasselt met BGP-failover. Vervangt MPLS (~€2.500/mnd) tegen een fractie van de kost. BGP zorgt voor automatische routeadvertentie.</t>
  </si>
  <si>
    <t>MPLS WAN-verbinding (~€2.500/mnd) naar 3 sites — duur, lange levertijden, provider-lock-in</t>
  </si>
  <si>
    <t>Azure Bastion Basic</t>
  </si>
  <si>
    <t>Basic tier · SSH/RDP via browser · AzureBastionSubnet /27</t>
  </si>
  <si>
    <t>ALZ-vereiste: geen publieke IP's op VM's. Bastion geeft beveiligde SSH/RDP-toegang via de browser zonder jumphost-VM of open poorten. Audit-log naar Log Analytics.</t>
  </si>
  <si>
    <t>RDP/SSH rechtstreeks via publiek IP — onveilig, geen audit trail, open poorten in firewall</t>
  </si>
  <si>
    <t>Public IP (pip-agw-prd)</t>
  </si>
  <si>
    <t>Standard SKU · static · zone-redundant</t>
  </si>
  <si>
    <t>Corp — Contoso-Prod</t>
  </si>
  <si>
    <t>Verplicht voor Application Gateway WAF v2. Standard SKU geeft zone-redundantie en is de enige SKU compatibel met WAF v2.</t>
  </si>
  <si>
    <t>Publiek IP direct op F5 BIG-IP hardware</t>
  </si>
  <si>
    <t>Egress bandbreedte</t>
  </si>
  <si>
    <t>~500 GB/mnd · eerste 5 GB gratis · €0,087/GB daarna</t>
  </si>
  <si>
    <t>Platform — Corp (West Europe)</t>
  </si>
  <si>
    <t>Pay-as-you-go egress voor extern dataverkeer. Geschat 500 GB/mnd op basis van huidige internetverbruik. Eerste 5 GB per maand gratis inbegrepen.</t>
  </si>
  <si>
    <t>Internetverbinding datacenter — vaste maandkost in hosting/co-lo contract</t>
  </si>
  <si>
    <t>VNet Peering (Hub ↔ Prod + NonProd)</t>
  </si>
  <si>
    <t>Hub↔Prod ~200 GB · Hub↔NonProd ~50 GB · €0,01/GB</t>
  </si>
  <si>
    <t>VNet Peering verbindt Hub met spoke-netwerken met microseconde latency. Vereist door Hub-Spoke ALZ-topologie voor centraal verkeer via Firewall.</t>
  </si>
  <si>
    <t>Flat netwerk zonder segmentatie — alles in hetzelfde VLAN, geen isolatie</t>
  </si>
  <si>
    <t>Subtotaal Netwerk</t>
  </si>
  <si>
    <t xml:space="preserve">  COMPUTE</t>
  </si>
  <si>
    <t>App Service Plan P2v3 — Web (web-contoso-prd)</t>
  </si>
  <si>
    <t>P2v3 · 2 vCPU · 8 GB RAM · Windows · 2 inst. min · auto-scale 2→6</t>
  </si>
  <si>
    <t>Compute</t>
  </si>
  <si>
    <t>Corp — Contoso-Prod · AppSubnet 10.10.1.0/24</t>
  </si>
  <si>
    <t>P2v3 biedt voldoende CPU en RAM voor ASP.NET WebForms met .NET Framework. Windows-tier vereist voor .NET Framework compatibility. AHB (Windows SA) geeft ~18% korting. Staging slot inbegrepen voor zero-downtime deploy.</t>
  </si>
  <si>
    <t>2× IIS-server WEB01/WEB02 — Windows Server 2019 · on-prem hardware · manuele deployments met downtime</t>
  </si>
  <si>
    <t>App Service Plan P2v3 — API (api-contoso-prd)</t>
  </si>
  <si>
    <t>P2v3 · 2 vCPU · 8 GB RAM · Windows · 2 inst. min · auto-scale 2→4</t>
  </si>
  <si>
    <t>Zelfde SKU als web-tier voor consistente performance. .NET Windows API vereist Windows-tier. Aparte App Service Plan voor onafhankelijke scaling van web en API. Staging slot inbegrepen.</t>
  </si>
  <si>
    <t>2× IIS-server APP01/APP02 — Windows Server 2019 · on-prem hardware · manuele deployments met downtime</t>
  </si>
  <si>
    <t>Azure Functions — Consumption</t>
  </si>
  <si>
    <t>Consumption plan · VNet Integration · Scheduler + Processor + Reporter</t>
  </si>
  <si>
    <t>Corp — Contoso-Prod · snet-spoke-funci 10.10.5.0/24</t>
  </si>
  <si>
    <t>Consumption plan is ideaal voor sporadic batch jobs — betalen per uitvoering. Geen permanente compute nodig. VNet Integration laat Functions toe via Private Endpoints met SQL MI en Service Bus te communiceren.</t>
  </si>
  <si>
    <t>3× .NET Windows Services op APP-servers — draaien 24/7 ook als ze geen werk hebben · wasteful resource gebruik · manueel herstart bij crash</t>
  </si>
  <si>
    <t>DC Replica vm-dc-01</t>
  </si>
  <si>
    <t>Standard_B2ms · 2 vCPU · 8 GB · Windows Server 2022 · AHB</t>
  </si>
  <si>
    <t>Platform — Identity · Spoke-Identity 10.40.0.0/24</t>
  </si>
  <si>
    <t>ALZ vereist DC-replica in Azure zodat authenticatie beschikbaar blijft als de VPN-verbinding uitvalt. B2ms is de kleinste geschikte SKU voor een Domain Controller (DC heeft weinig CPU maar wel RAM nodig). AHB verlaagt Windows-licentiekost.</t>
  </si>
  <si>
    <t>DC01 on-premises in Gent — single point of failure bij VPN-uitval: geen authenticatie mogelijk voor Azure-workloads</t>
  </si>
  <si>
    <t>DC Replica vm-dc-02</t>
  </si>
  <si>
    <t>HA-pair voor dc-01. Twee Domain Controllers in Azure garanderen AD-quorum en resilience bij VM-storing. ALZ vereist minstens twee DC-replica's voor HA.</t>
  </si>
  <si>
    <t>Geen HA voor on-prem DC in Azure — bij uitval vm-dc-01 geen fallback</t>
  </si>
  <si>
    <t>Subtotaal Compute</t>
  </si>
  <si>
    <t xml:space="preserve">  DATABASE</t>
  </si>
  <si>
    <t>SQL Managed Instance — General Purpose (Prod)</t>
  </si>
  <si>
    <t>GP · 8 vCore · 1 TB incl. · Always On · PITR 35d · West Europe</t>
  </si>
  <si>
    <t>Database</t>
  </si>
  <si>
    <t>Corp — Contoso-Prod · snet-sqli-dedicated 10.10.4.0/24</t>
  </si>
  <si>
    <t>SQL MI GP geeft 99% SQL Server-compatibiliteit (SQL Agent, Linked Servers, CLR, Service Broker) — vereist voor de bestaande applicatie zonder code-aanpassingen. 8 vCore GP is de minimale SKU voor productie OLTP. AHB met SQL Enterprise SA levert ~40% besparing op licentiedeel.</t>
  </si>
  <si>
    <t>SQL Server 2014 Enterprise op DB01/DB02 — Always On AG op EOL hardware · SQL 2014 EOL juli 2024 · geen extended security updates</t>
  </si>
  <si>
    <t>SQL MI Geo-replica (DR) — North Europe</t>
  </si>
  <si>
    <t>GP · 8 vCore · auto-failover group · North Europe · read-only endpoint</t>
  </si>
  <si>
    <t>Corp — Contoso-Prod (DR) · North Europe</t>
  </si>
  <si>
    <t>Auto-failover group naar North Europe biedt RPO &lt;5s en RTO &lt;30s — vereist voor de DR-strategie. Dient ook als read-only endpoint voor rapportage om productie te ontlasten. AHB geldt ook op de secondary.</t>
  </si>
  <si>
    <t>SQL Server Always On AG — manuele failover · zelfde datacenter · geen geo-redundantie · RTO meerdere uren</t>
  </si>
  <si>
    <t>Subtotaal Database</t>
  </si>
  <si>
    <t xml:space="preserve">  STORAGE</t>
  </si>
  <si>
    <t>Recovery Services Vault</t>
  </si>
  <si>
    <t>GRS · SQL MI LTR 7d/4w/12m · VM backup · Management-sub</t>
  </si>
  <si>
    <t>Storage</t>
  </si>
  <si>
    <t>Platform — Management</t>
  </si>
  <si>
    <t>RSV biedt geo-redundante backup (GRS: kopie naar North Europe) en lange termijn retentie voor SQL MI en DC-replica VMs. Automatisch beheer — geen backup-scripts. ALZ vereist GRS backup voor productie-workloads.</t>
  </si>
  <si>
    <t>Veeam Backup — lokale opslag op NAS · geen offsite kopie · manuele restore-procedure · risico bij locatiebrand</t>
  </si>
  <si>
    <t>Storage Account — Blob ZRS (Hot)</t>
  </si>
  <si>
    <t>ZRS · Hot tier · 2 TB · blob + operaties</t>
  </si>
  <si>
    <t>Corp — Contoso-Prod · snet-spoke-data 10.10.2.0/24</t>
  </si>
  <si>
    <t>ZRS (Zone-Redundant Storage) biedt 99,9999999% durability binnen West Europe — ALZ-vereiste voor productie-opslag. Blob voor rapporten, uploads en backupbestanden. Private Endpoint (PE: 10.10.2.5) zorgt dat verkeer nooit publiek internet passeert.</t>
  </si>
  <si>
    <t>NAS-opslag (iSCSI) — lokale hardware · geen replicatie · single point of failure bij hardware-storing</t>
  </si>
  <si>
    <t>Azure Files (SMB)</t>
  </si>
  <si>
    <t>LRS · 500 GB · SMB 3.0 · Private Endpoint</t>
  </si>
  <si>
    <t>Naadloze vervanging van UNC shares — zelfde SMB-protocol, geen applicatiewijziging vereist. App-servers mounten Azure Files als gewone netwerkschijf via Private Endpoint.</t>
  </si>
  <si>
    <t>Windows File Server met NAS UNC shares — on-prem hardware · manuele provisioning · geen geo-redundantie</t>
  </si>
  <si>
    <t>Subtotaal Storage</t>
  </si>
  <si>
    <t xml:space="preserve">  IDENTITEIT</t>
  </si>
  <si>
    <t>Microsoft Entra ID P1</t>
  </si>
  <si>
    <t>P1 · 450 gebruikers · MFA + Conditional Access + PIM + SSPR</t>
  </si>
  <si>
    <t>Identiteit</t>
  </si>
  <si>
    <t>Platform — Identity (global service)</t>
  </si>
  <si>
    <t>P1 is het minimale niveau voor Conditional Access en PIM — beide ALZ-vereisten. Vervangt on-premises Kerberos met moderne OAuth2/OIDC-authenticatie voor web en API. SSPR vermindert helpdesk-tickets voor wachtwoordresets.</t>
  </si>
  <si>
    <t>Active Directory Kerberos on-premises — geen MFA · geen Conditional Access · geen SSPR · gebruikers bellen helpdesk voor wachtwoordreset</t>
  </si>
  <si>
    <t>Entra Connect Sync</t>
  </si>
  <si>
    <t>Password Hash Sync · 30 min interval · staging server (HA)</t>
  </si>
  <si>
    <t>Platform — Identity · vm-do-01/02</t>
  </si>
  <si>
    <t>Hybride identiteit: on-premises AD-accounts syncen naar Entra ID voor SSO. PHS is de veiligste en eenvoudigste methode (geen ADFS-servers nodig). Staging server garandeert sync-continuïteit bij storing primary server.</t>
  </si>
  <si>
    <t>Geen cloud-identiteitssync — gebruikers hebben aparte on-prem en cloud credentials · geen SSO naar SaaS-applicaties</t>
  </si>
  <si>
    <t>Subtotaal Identiteit</t>
  </si>
  <si>
    <t xml:space="preserve">  SECURITY</t>
  </si>
  <si>
    <t>Key Vault Standard — Workload</t>
  </si>
  <si>
    <t>Standard · Secrets · Certs · Soft-delete · PE: 10.10.3.4</t>
  </si>
  <si>
    <t>Security</t>
  </si>
  <si>
    <t>Corp — Contoso-Prod · snet-spoke-security 10.10.3.0/27</t>
  </si>
  <si>
    <t>ALZ-vereiste: geen secrets in config-bestanden of code repositories. App Service en Functions halen verbindingsstrings op via Managed Identity — geen hardcoded wachtwoorden. Soft-delete voorkomt accidentele verwijdering.</t>
  </si>
  <si>
    <t>Wachtwoorden in web.config / appsettings.json — plaintext in Git repositories · geen rotatie · iedereen met codebasis ziet credentials</t>
  </si>
  <si>
    <t>Key Vault Standard — Platform</t>
  </si>
  <si>
    <t>Standard · TLS-certs · Platform secrets · Managed HSM optie · Soft-delete</t>
  </si>
  <si>
    <t>Platform — Identity</t>
  </si>
  <si>
    <t>Aparte Key Vault voor platform-niveau secrets (TLS-certificaten, Firewall-keys). Scheiding van platform en workload secrets conform ALZ Separation of Duties-principe. Beheerd door platform-team, niet door applicatie-team.</t>
  </si>
  <si>
    <t>Certificaten manueel als PFX-bestanden op servers — verloopdatum vaak gemist · geen centrale inventaris · manuele renewal procedure</t>
  </si>
  <si>
    <t>Managed Identity (system-assigned)</t>
  </si>
  <si>
    <t>System-assigned · App Service + Functions → Key Vault + SQL MI</t>
  </si>
  <si>
    <t>Passwordless authenticatie vanuit App Service en Functions naar Key Vault en SQL MI. Geen service accounts met statische wachtwoorden. Inbegrepen in App Service / Functions — geen extra kost. Credential rotation volledig automatisch.</t>
  </si>
  <si>
    <t>Service accounts met statische wachtwoorden in config — wachtwoorden zelden geroteerd · verlopen credentials veroorzaken productie-incidenten</t>
  </si>
  <si>
    <t>Microsoft Defender for Cloud</t>
  </si>
  <si>
    <t>Servers P2 (2× DC VMs) · SQL MI plan · Storage · App Service plan</t>
  </si>
  <si>
    <t>ALZ vereist Defender for Cloud voor CSPM (security posture score). SQL MI plan geeft vulnerability scanning en anomaly detection. Servers plan biedt EDR op DC-replica VMs. Gecentraliseerd in Management-subscriptie.</t>
  </si>
  <si>
    <t>SCOM 2012 (EOL 2024) — geen vulnerability scanning · geen cloud posture management · verouderde agenten · geen Azure-integratie</t>
  </si>
  <si>
    <t>PIM — Just-in-Time Access</t>
  </si>
  <si>
    <t>Eligible assignments · approval workflow · time-limited · audit log → LAW</t>
  </si>
  <si>
    <t>Platform — Identity (Entra ID P1)</t>
  </si>
  <si>
    <t>ALZ-vereiste: geen permanente Global Admin of Owner-rechten. JIT-toegang met goedkeuring en tijdslimiet (max 8u). Auditlog naar Log Analytics voor compliance en forensisch onderzoek. Inbegrepen in Entra ID P1.</t>
  </si>
  <si>
    <t>Permanente admin-accounts — iedereen met rechten heeft die 24/7 · geen audit trail · hoog risico bij credential compromise</t>
  </si>
  <si>
    <t>Conditional Access</t>
  </si>
  <si>
    <t>MFA verplicht alle users · named locations · compliant device policy</t>
  </si>
  <si>
    <t>ALZ-vereiste: MFA voor alle gebruikers zonder uitzondering. Named locations (Gent/Luik/Hasselt) zorgen voor extra verificatie bij logins van onbekende locaties. Inbegrepen in Entra ID P1 — geen aparte kost.</t>
  </si>
  <si>
    <t>Geen MFA — wachtwoord enkel · geen locatiecontrole · één gelekt wachtwoord = volledige accountovername mogelijk</t>
  </si>
  <si>
    <t>Subtotaal Security</t>
  </si>
  <si>
    <t xml:space="preserve">  MONITORING</t>
  </si>
  <si>
    <t>Log Analytics Workspace</t>
  </si>
  <si>
    <t>8 GB/dag ingestie · 90d hot retentie · 2j archief · KQL · Workbooks</t>
  </si>
  <si>
    <t>Monitoring</t>
  </si>
  <si>
    <t>Centraal logging-platform voor alle Azure-resources. KQL-query's en Workbooks voor operationele dashboards. 90 dagen hot retentie voor incident response, 2 jaar archief voor compliance (GDPR-logging vereiste).</t>
  </si>
  <si>
    <t>Event Viewer lokaal op elke server — geen centrale aggregatie · geen correlatie tussen servers · logs verloren bij server-storing</t>
  </si>
  <si>
    <t>Application Insights</t>
  </si>
  <si>
    <t>APM · distributed tracing · live metrics · 5 GB/mnd · alerts</t>
  </si>
  <si>
    <t>Applicatie-niveau monitoring voor web, API en Functions. Distributed tracing detecteert performance bottlenecks over de hele request chain. Ingebouwd in App Service — SDK-integratie vereist minimale code-aanpassing.</t>
  </si>
  <si>
    <t>Geen APM — enkel Windows Event Log · geen performance tracing · bottlenecks enkel ontdekt na klachten van gebruikers</t>
  </si>
  <si>
    <t>Azure Monitor</t>
  </si>
  <si>
    <t>Metrics · auto-scale triggers · dashboards · metric alerts</t>
  </si>
  <si>
    <t>Native monitoring voor alle Azure-resources. Auto-scale triggers voor App Service gebaseerd op CPU-gebruik en HTTP-requests. Grotendeels inbegrepen in Azure-abonnement.</t>
  </si>
  <si>
    <t>SCOM 2012 (EOL 2024) — verouderd monitoring · hoge licentiekost · geen Azure-native integratie</t>
  </si>
  <si>
    <t>Automation Account</t>
  </si>
  <si>
    <t>Runbooks · 500 job-min/mnd (gratis tier) · Update Management</t>
  </si>
  <si>
    <t>Automatiseert patch management en terugkerende beheerstaken voor DC-replica VMs. Gratis tier (500 job-min/mnd) dekt de behoefte. Integreert met DevOps-pipelines voor geautomatiseerde IaC-operaties.</t>
  </si>
  <si>
    <t>Manueel patching via WSUS — tijdrovend · inconsistent · risico op gemiste kritieke patches</t>
  </si>
  <si>
    <t>Subtotaal Monitoring</t>
  </si>
  <si>
    <t xml:space="preserve">  INTEGRATIE</t>
  </si>
  <si>
    <t>Service Bus Standard</t>
  </si>
  <si>
    <t>Standard · ~10M berichten/mnd · Private Endpoint</t>
  </si>
  <si>
    <t>Integratie</t>
  </si>
  <si>
    <t>Ontkoppelt de API van Azure Functions — bij piekbelasting stapelen berichten op in de queue zonder verlies. Standard-tier is voldoende voor het verwachte volume. Private Endpoint zorgt dat berichten via intern netwerk gaan.</t>
  </si>
  <si>
    <t>Directe WCF/COM+ service-aanroepen — synchrone koppeling · geen buffer bij piekmoment · één trage service blokkeert de hele chain</t>
  </si>
  <si>
    <t>Azure Communication Services</t>
  </si>
  <si>
    <t>E-mail delivery · pay-per-mail · ~1.000 mails/mnd</t>
  </si>
  <si>
    <t>Corp — Contoso-Prod (global service)</t>
  </si>
  <si>
    <t>Managed e-mailservice zonder eigen SMTP-server. Pay-per-mail maakt kosten voorspelbaar en laag. Geen servers te patchen, geen TLS-certificaten te beheren, geen spam-blacklisting risico.</t>
  </si>
  <si>
    <t>Exchange Server on-premises — SMTP relay · server onderhoud en patching · TLS-certificaat renewal · risico op blacklisting bij misconfiguratie</t>
  </si>
  <si>
    <t>Subtotaal Integratie</t>
  </si>
  <si>
    <t>TOTAAL MAANDELIJKSE KOST (PAYG, excl. AHB/RI)</t>
  </si>
  <si>
    <t>Azure Hybrid Benefit besparing (SQL MI ~40% + Windows ~18%) — geschat</t>
  </si>
  <si>
    <t>NETTO MAANDKOST NA AZURE HYBRID BENEFIT</t>
  </si>
  <si>
    <t>Contoso Manufacturing — SKU Onderbouwing per Instance</t>
  </si>
  <si>
    <t>Elke SKU-keuze onderbouwd met alternatieven, reden van keuze en verwijzing naar architectuurbeslissing</t>
  </si>
  <si>
    <t>Resource</t>
  </si>
  <si>
    <t>Gekozen SKU</t>
  </si>
  <si>
    <t>Overwogen alternatieven</t>
  </si>
  <si>
    <t>Reden van keuze</t>
  </si>
  <si>
    <t>Risico bij goedkopere SKU</t>
  </si>
  <si>
    <t>Herzieningsmoment</t>
  </si>
  <si>
    <t>Referentie</t>
  </si>
  <si>
    <t>── COMPUTE ──</t>
  </si>
  <si>
    <t>App Service Plan Web
(web-contoso-prd)</t>
  </si>
  <si>
    <t>P2v3 · Windows
2 vCPU · 8 GB RAM</t>
  </si>
  <si>
    <t>P1v3 (te weinig RAM bij peak)
P3v3 (overkill, +60% kost)
B2 (geen auto-scale, geen staging slot)</t>
  </si>
  <si>
    <t>P2v3 is de minimale SKU die zowel auto-scale als staging slots ondersteunt. ASP.NET WebForms met .NET Framework vereist Windows-tier. 8 GB RAM is nodig voor peak load bij 120 gelijktijdige gebruikers. AHB Windows SA verlaagt kost met ~18%.</t>
  </si>
  <si>
    <t>P1v3: OOM-crashes bij piek, geen staging slot → downtime bij deployment. B2: geen auto-scale → handmatige interventie bij piek.</t>
  </si>
  <si>
    <t>Na 6 maanden productie:
P1v3 als load lager dan verwacht
P3v3 als CPU &gt; 70%</t>
  </si>
  <si>
    <t>ADR-Compute-001 | Azure Well-Architected Performance</t>
  </si>
  <si>
    <t>App Service Plan API
(api-contoso-prd)</t>
  </si>
  <si>
    <t>P1v3 (onvoldoende voor .NET API)
Consumption (geen VNet Integration zonder Premium)
Container Apps (te grote refactor)</t>
  </si>
  <si>
    <t>Zelfde SKU als web voor operationele eenvoud. .NET Windows API vereist Windows-tier voor COM+-compatibiliteit. Aparte App Service Plan zodat web en API onafhankelijk kunnen schalen.</t>
  </si>
  <si>
    <t>P1v3: .NET API-verwerking is CPU-intensiever dan web — risicovolle keuze. Consumption: geen VNet Integration in Consumption-tier, PE-communicatie onmogelijk.</t>
  </si>
  <si>
    <t>Na 6 maanden: consolideer web+API op één plan als load laag blijft (-€617/mnd)</t>
  </si>
  <si>
    <t>ADR-Compute-001 | Contoso App Service Sizing Rapport</t>
  </si>
  <si>
    <t>Azure Functions
(fn-contoso-prd-001)</t>
  </si>
  <si>
    <t>Consumption Plan
VNet Integration</t>
  </si>
  <si>
    <t>Premium EP1 (+€300/mnd)
App Service Plan P1v3 (vast kost)
Webjobs (geen aparte schaling)</t>
  </si>
  <si>
    <t>Consumption is ideaal voor Scheduler/Processor/Reporter die sporadisch draaien. VNet Integration beschikbaar via Consumption met regionale integratie. Betalen per executie: bij huidig volume ~€2/mnd vs €300 voor Premium.</t>
  </si>
  <si>
    <t>Bij hoog volume (&gt;5M exec/mnd): kosten stijgen snel — dan Premium overwegen. Cold start latency max 5-10s — acceptabel voor batch jobs.</t>
  </si>
  <si>
    <t>Kwartaal review: als exec &gt; 3M/mnd → migreer naar Premium EP1</t>
  </si>
  <si>
    <t>ADR-Compute-002 | Azure Functions Consumption Limits</t>
  </si>
  <si>
    <t>DC Replica vm-dc-01
&amp; vm-dc-02</t>
  </si>
  <si>
    <t>Standard_B2ms
2 vCPU · 8 GB RAM</t>
  </si>
  <si>
    <t>Standard_D2s_v3 (+€60/mnd, overkill)
Standard_B1ms (te weinig RAM voor LDAP)
Azure AD DS (geen on-prem sync)</t>
  </si>
  <si>
    <t>B2ms is de officieel aanbevolen SKU voor Azure AD Domain Controllers. 8 GB RAM is vereist voor AD DS werkset + SYSVOL-replicatie. Burstable B-serie is geschikt omdat DC's korte piekmomenten hebben bij logon. AHB Windows Server Datacenter SA geeft gratis Windows-licentie.</t>
  </si>
  <si>
    <t>B1ms: te weinig RAM → AD DS-crashes bij simultane logons van 450 gebruikers. Azure AD DS: geen on-prem Kerberos/NTLM compatibiliteit voor legacy apps.</t>
  </si>
  <si>
    <t>Stabiel — herzien bij migratie naar Entra-only (passwordless) in 2026+</t>
  </si>
  <si>
    <t>Microsoft DC on Azure Sizing Guide | ALZ Identity Pattern</t>
  </si>
  <si>
    <t>── DATABASE ──</t>
  </si>
  <si>
    <t>SQL Managed Instance
(sql-contoso-prd-001)</t>
  </si>
  <si>
    <t>General Purpose · 8 vCore
1 TB storage incl.</t>
  </si>
  <si>
    <t>Business Critical 8vCore (+€1.800/mnd)
Azure SQL Database (oncompatibel)
General Purpose 4vCore (te weinig)
SQL on VM IaaS (beheer overhead)</t>
  </si>
  <si>
    <t>GP 8vCore biedt 99% SQL Server-compatibiliteit (SQL Agent, Linked Servers, CLR). Business Critical is enkel nodig als in-memory OLTP of Read-replicas vereist zijn — niet het geval voor Contoso. 4vCore: benchmark toont dat Contoso DB (~280 GB, OLTP) 6-8 vCore nodig heeft bij piek. AHB SQL Enterprise SA geeft ~40% korting (besparing: €580/mnd).</t>
  </si>
  <si>
    <t>Business Critical: €1.800/mnd meer zonder meetbare gain voor deze workload. 4vCore: CPU-bottleneck bij maandafsluiting (batch + OLTP gelijktijdig).</t>
  </si>
  <si>
    <t>Jaarlijks: evalueer downscale naar 4vCore na DB-optimalisatie.</t>
  </si>
  <si>
    <t>ADR-DB-001 | SQL MI Sizing Calculator | Contoso DB Benchmark</t>
  </si>
  <si>
    <t>SQL MI Geo-replica
(DR · North Europe)</t>
  </si>
  <si>
    <t>General Purpose · 8vCore
Auto-failover group</t>
  </si>
  <si>
    <t>Manual backup restore (RPO uren)
Geo-restore (RTO &gt;2u)
Business Critical secondary (overkill)</t>
  </si>
  <si>
    <t>Auto-failover group geeft RPO &lt;5s en RTO &lt;30s — vereist door DR-strategie. Secondary moet zelfde vCore-count hebben als primary (Azure vereiste). Dient ook als read-only endpoint voor rapporten → ontlast productie-instance. AHB SQL Enterprise SA ook van toepassing op secondary.</t>
  </si>
  <si>
    <t>Geo-restore: RTO &gt;2u is onacceptabel voor productiebedrijf. 4vCore secondary: niet toegestaan als primary 8vCore heeft.</t>
  </si>
  <si>
    <t>Herzien als RPO/RTO-vereisten wijzigen of budget review jaar 2</t>
  </si>
  <si>
    <t>ADR-DB-001 | Azure SQL MI Failover Groups | NIS2 BC-vereisten</t>
  </si>
  <si>
    <t>── NETWERK ──</t>
  </si>
  <si>
    <t>Azure Firewall Premium
(fw-contoso-hub-001)</t>
  </si>
  <si>
    <t>Premium tier
IDPS · TLS-inspectie</t>
  </si>
  <si>
    <t>Standard tier (-€400/mnd, geen IDPS)
NVA Palo Alto (complexer, duurder)
NSG-only (geen L7-inspectie)</t>
  </si>
  <si>
    <t>Premium is ALZ v2-vereiste voor IDPS en TLS-inspectie. Standard mist IDPS — vereist door NIS2 Art. 21 voor detectie van network-based attacks. TLS-inspectie laat toe versleuteld egress te inspecteren (malware C2-communicatie). Centraliseert egress voor alle spokes → geen per-spoke firewall nodig.</t>
  </si>
  <si>
    <t>Standard: geen IDPS → NIS2 compliance gap, geen detectie van encrypted threats. NSG-only: geen stateful inspection, geen URL-filtering, geen threat intelligence.</t>
  </si>
  <si>
    <t>Stabiel — Premium blijft vereist zolang NIS2 van kracht</t>
  </si>
  <si>
    <t>ALZ v2 Firewall Policy | NIS2 Art. 21 | ADR-Net-001</t>
  </si>
  <si>
    <t>Application Gateway WAF v2
(agw-contoso-prd-001)</t>
  </si>
  <si>
    <t>WAF_v2 · 1 inst · 10 CU
SSL-offload · OWASP CRS 3.2</t>
  </si>
  <si>
    <t>WAF_v1 (EOL 2026)
Basic tier (geen WAF)
F5 BIG-IP on VM (EOL, duur)</t>
  </si>
  <si>
    <t>WAF v2 is de enige actief ondersteunde WAF-variant (v1 EOL april 2026). OWASP CRS 3.2 beschermt tegen SQLi, XSS, CSRF voor de ASP.NET-applicatie. SSL-offload verplaatst TLS-overhead van App Service naar Gateway. Vervangt F5 BIG-IP (EOL 2025, €35K capex vervanging vermeden).</t>
  </si>
  <si>
    <t>WAF_v1: EOL in 2026 → gedwongen migratie later. Basic: geen WAF-bescherming → direct NIS2 compliance gap.</t>
  </si>
  <si>
    <t>Herzien bij introductie Front Door (dan WAF-functie deels overlappend)</t>
  </si>
  <si>
    <t>ADR-Net-002 | F5 BIG-IP EOL Notice | OWASP Top 10 2021</t>
  </si>
  <si>
    <t>VPN Gateway VpnGw2
(vpngw-contoso-hub)</t>
  </si>
  <si>
    <t>VpnGw2 · Route-based
BGP · IKEv2 · 1 Gbps</t>
  </si>
  <si>
    <t>VpnGw1 (500 Mbps, geen zone-redundantie)
VpnGw3 (overkill, +€150/mnd)
ExpressRoute 1 Gbps (+€1.200/mnd)</t>
  </si>
  <si>
    <t>VpnGw2 biedt 1 Gbps geaggregeerd voor S2S naar 3 sites (Gent/Luik/Hasselt). BGP-routering essentieel voor automatische failover bij VPN-tunnel-storing. Zone-redundant SKU biedt 99,9% SLA vs 99,0% voor VpnGw1. Vervangt MPLS-contract (~€2.500/mnd) → netto besparing €2.232/mnd.</t>
  </si>
  <si>
    <t>VpnGw1: 500 Mbps geaggregeerd kan bij 3 simultane zware backups een bottleneck zijn. ExpressRoute: €1.200/mnd meer kost voor een KMO die VPN-latency acceptabel vindt.</t>
  </si>
  <si>
    <t>Herzien bij ExpressRoute indien latency-problemen gemeld worden door Gent-site</t>
  </si>
  <si>
    <t>ADR-Net-003 | VPN Gateway SKU Comparison | MPLS Contract opzegging</t>
  </si>
  <si>
    <t>── OPSLAG ──</t>
  </si>
  <si>
    <t>Storage Account Blob ZRS
(stcontoso001)</t>
  </si>
  <si>
    <t>ZRS · Hot tier · 2 TB</t>
  </si>
  <si>
    <t>LRS (geen zone-redundantie)
GRS (+€20/mnd, overkill voor blobs)
Premium (nodig voor hoge IOPS, niet hier)</t>
  </si>
  <si>
    <t>ZRS is ALZ-vereiste voor productie-opslag — beschermt tegen datacenter-storing binnen regio. LRS had in originele XML gestaan maar was niet conform landing zone policy. Hot tier is juist voor frequente toegang (rapporten dagelijks gelezen). Private Endpoint verhindert publieke toegang.</t>
  </si>
  <si>
    <t>LRS: geen zone-redundantie → data verlies bij AZ-storing. GRS: onnodige kost voor blob-data die ook in RSV backup zit.</t>
  </si>
  <si>
    <t>Koud na 30 dagen → lifecycle policy instellen voor Cool tier (-€0,010/GB)</t>
  </si>
  <si>
    <t>ALZ Storage Policy | Landing Zone ZRS vereiste | ADR-Sto-001</t>
  </si>
  <si>
    <t>Recovery Services Vault
(rsv-contoso-mgmt)</t>
  </si>
  <si>
    <t>GRS · SQL MI LTR
7d/4w/12m retentie</t>
  </si>
  <si>
    <t>Backup Vault LRS (geen geo-redundantie)
Veeam Cloud (complex, duurder)
SQL MI native backup only (geen central mgmt)</t>
  </si>
  <si>
    <t>RSV GRS repliceert backup-data naar North Europe — vereist door NIS2 Art. 21(c) (BC/DR). Vervangt Veeam die enkel lokaal opsloeg zonder offsite kopie. Geïntegreerd met SQL MI voor LTR-backups (7d/4w/12m) zonder extra beheer. GRS: bij disaster in West Europe is backup bereikbaar vanuit North Europe.</t>
  </si>
  <si>
    <t>LRS: geen offsite backup → brand/ramp in datacenter = totaal dataverlies. Backup Vault: ander product, minder SQL MI-integratie.</t>
  </si>
  <si>
    <t>Stabiel — retentieperiodes herzien bij compliance review (GDPR bewaarplicht)</t>
  </si>
  <si>
    <t>NIS2 Art. 21(2)(c) | ISO 27001 A.12.3 | Veeam EOL Assessment</t>
  </si>
  <si>
    <t>── IDENTITEIT ──</t>
  </si>
  <si>
    <t>Microsoft Entra ID P1
(450 gebruikers)</t>
  </si>
  <si>
    <t>P1 · €6/user/mnd
MFA + CA + PIM + SSPR</t>
  </si>
  <si>
    <t>Free tier (geen CA, geen PIM)
P2 (+€3/user/mnd = +€1.350/mnd)
Azure AD B2C (voor externe gebruikers, niet intern)</t>
  </si>
  <si>
    <t>P1 is minimale tier voor Conditional Access en PIM — beide ALZ-vereisten. Free: geen Conditional Access → NIS2 en ALZ compliance gap. P2 voegt Identity Protection en Access Reviews toe — nuttig maar niet verplicht voor NIS2. SSPR elimineert helpdesk-kosten voor wachtwoordresets (~2u/week × €50/u = €400/mnd besparing).</t>
  </si>
  <si>
    <t>Free: geen MFA enforcement via CA → één gelekt wachtwoord = volledige account compromise. P2: €16.200/jaar extra voor features die Contoso momenteel niet operationeel nodig heeft.</t>
  </si>
  <si>
    <t>Herzien bij jaar 2: P2 als Identity Protection en Access Reviews gewenst worden</t>
  </si>
  <si>
    <t>ALZ Identity Baseline | NIS2 Art. 21(2)(e) | Entra ID Feature Comparison</t>
  </si>
  <si>
    <t>── SECURITY ──</t>
  </si>
  <si>
    <t>Microsoft Defender for Cloud
(Servers P2 + SQL + Storage)</t>
  </si>
  <si>
    <t>Servers P2 · SQL MI
Storage · App Service</t>
  </si>
  <si>
    <t>Servers P1 (geen EDR)
Defender for Cloud free (enkel posture)
Derde partij SIEM (complexer)</t>
  </si>
  <si>
    <t>Servers P2 biedt EDR via Microsoft Defender for Endpoint op DC-replica VMs. SQL MI plan geeft vulnerability scanning en anomaly detection (SQLi-aanvallen detecteren). Storage plan detecteert malware-upload in blob en verdachte toegangspatronen. Gecentraliseerd in Management-sub voor single-pane-of-glass Secure Score.</t>
  </si>
  <si>
    <t>Servers P1: geen EDR → geen detectie van malware op DC VMs. Free tier: enkel posture assessment, geen actieve bescherming.</t>
  </si>
  <si>
    <t>Uitbreiden met Defender for Containers als containerisatie ingevoerd wordt</t>
  </si>
  <si>
    <t>NIS2 Art. 21(2)(b) | ADR-Sec-001 | CIS Azure Benchmark 2.0</t>
  </si>
  <si>
    <t>── MONITORING ──</t>
  </si>
  <si>
    <t>Log Analytics Workspace
(law-contoso-mgmt-001)</t>
  </si>
  <si>
    <t>8 GB/dag · 90d hot
2j archief</t>
  </si>
  <si>
    <t>4 GB/dag (te weinig voor alle resources)
Sentinel SIEM (+€500/mnd)
3rd party Datadog (vendor lock-in)</t>
  </si>
  <si>
    <t>8 GB/dag is realistisch voor 31 resources met diagnostics (gemeten op vergelijkbare omgevingen). 90 dagen hot retentie voor incident response + forensisch onderzoek. 2 jaar archief (Basic tier) voor compliance logging — GDPR vereist geen specifieke periode maar NIS2 en sectorale normen hanteren 2 jaar als standaard. Ingebouwd in Management-subscriptie — geen extra tooling vereist.</t>
  </si>
  <si>
    <t>4 GB/dag: logs worden getruncated → incident response gecompromitteerd. Sentinel: nuttig maar €500/mnd extra — overwegen bij groei of NIS2-auditverplichtingen.</t>
  </si>
  <si>
    <t>Kwartaal: ingestion-volume reviewen en bijsturen. Sentinel overwegen bij NIS2-audit jaar 1</t>
  </si>
  <si>
    <t>NIS2 Art. 21(2)(b) | ISO 27001 A.12.4 | LAW Retention Cost Calculator</t>
  </si>
  <si>
    <t>Contoso Manufacturing — Azure Hybrid Benefit &amp; Reserved Instances Berekening</t>
  </si>
  <si>
    <t>Blauw = invoer | Zwart = formule | Groen = link andere sheet | Klant heeft Windows Server Datacenter SA + SQL Server Enterprise SA</t>
  </si>
  <si>
    <t xml:space="preserve">  AZURE HYBRID BENEFIT (AHB) — Licentiekorting via Software Assurance</t>
  </si>
  <si>
    <t>Type SA-licentie</t>
  </si>
  <si>
    <t>PAYG prijs/mnd (€)</t>
  </si>
  <si>
    <t>AHB korting %</t>
  </si>
  <si>
    <t>Prijs na AHB (€/mnd)</t>
  </si>
  <si>
    <t>Besparing/mnd (€)</t>
  </si>
  <si>
    <t>Besparing/jaar (€)</t>
  </si>
  <si>
    <t>Toelichting</t>
  </si>
  <si>
    <t>App Service P2v3 × 2 (web + api)</t>
  </si>
  <si>
    <t>Windows Server Datacenter SA</t>
  </si>
  <si>
    <t>18% Windows lic-deel gespaard (2 inst)</t>
  </si>
  <si>
    <t>DC Replica vm-dc-01 (B2ms)</t>
  </si>
  <si>
    <t>40% Windows Datacenter 2-proc</t>
  </si>
  <si>
    <t>DC Replica vm-dc-02 (B2ms)</t>
  </si>
  <si>
    <t>SQL MI GP 8vCore — Prod</t>
  </si>
  <si>
    <t>SQL Server Enterprise SA</t>
  </si>
  <si>
    <t>40% SQL Ent EA</t>
  </si>
  <si>
    <t>SQL MI GP 8vCore — DR (North EU)</t>
  </si>
  <si>
    <t>40% SQL Ent EA (secondary telt ook mee)</t>
  </si>
  <si>
    <t>TOTAAL AHB BESPARING</t>
  </si>
  <si>
    <t>Jaarlijkse AHB besparing t.o.v. PAYG</t>
  </si>
  <si>
    <t xml:space="preserve">  RESERVED INSTANCES (1 jaar) — Aanvullende korting bovenop AHB</t>
  </si>
  <si>
    <t>Prijs PAYG/mnd (€)</t>
  </si>
  <si>
    <t>Prijs na AHB/mnd (€)</t>
  </si>
  <si>
    <t>RI korting % (1J)</t>
  </si>
  <si>
    <t>Prijs na RI+AHB (€/mnd)</t>
  </si>
  <si>
    <t>Besparing vs PAYG/mnd (€)</t>
  </si>
  <si>
    <t>Besparing vs PAYG/jaar (€)</t>
  </si>
  <si>
    <t>RI type</t>
  </si>
  <si>
    <t>App Service P2v3 × 2 (web+api)</t>
  </si>
  <si>
    <t>Compute Reserved Instance 1J</t>
  </si>
  <si>
    <t>SQL MI Reserved Capacity 1J</t>
  </si>
  <si>
    <t>SQL MI GP 8vCore — DR</t>
  </si>
  <si>
    <t>VPN GW Reserved Instance 1J</t>
  </si>
  <si>
    <t>DC vm-dc-01 + vm-dc-02 (B2ms)</t>
  </si>
  <si>
    <t>VM Reserved Instance 1J</t>
  </si>
  <si>
    <t>TOTAAL BESPARING RI + AHB GECOMBINEERD (vs PAYG)</t>
  </si>
  <si>
    <t xml:space="preserve">  NETTO MAANDKOST (PAYG baseline uit 'Instance Inventaris' − AHB − RI)</t>
  </si>
  <si>
    <t>PAYG Totaal (uit Instance Inventaris)</t>
  </si>
  <si>
    <t>AHB besparing/mnd</t>
  </si>
  <si>
    <t>RI besparing/mnd (additioneel)</t>
  </si>
  <si>
    <t>NETTO MAANDKOST NA AHB + RI</t>
  </si>
  <si>
    <t>Contoso Manufacturing — Dev/Test Omgevingen | Contoso-NonProd Subscriptie</t>
  </si>
  <si>
    <t>Dev/Test pricing: tot -55% korting op Windows VMs | SQL Serverless: auto-pause na 1u inactiviteit | Auto-shutdown 20:00 | Budget: max €300/mnd</t>
  </si>
  <si>
    <t xml:space="preserve">  AANNAMES — Dev/Test Subscriptie (Contoso-NonProd · Spoke VNet 10.20.0.0/16)</t>
  </si>
  <si>
    <t>SKU Dev/Test</t>
  </si>
  <si>
    <t>SKU Productie
(ter vergelijking)</t>
  </si>
  <si>
    <t>Dev/Test
prijs/mnd (€)</t>
  </si>
  <si>
    <t>Prod
prijs/mnd (€)</t>
  </si>
  <si>
    <t>Besparing
t.o.v. Prod (€)</t>
  </si>
  <si>
    <t>Besparing %</t>
  </si>
  <si>
    <t>Reden goedkopere SKU
in NonProd</t>
  </si>
  <si>
    <t>Beperkingen</t>
  </si>
  <si>
    <t>App Service (web + api)</t>
  </si>
  <si>
    <t>B1 · 1 vCPU · 1.75 GB
Dev/Test pricing
1 instance</t>
  </si>
  <si>
    <t>P2v3 · 2 vCPU · 8 GB
2 instances</t>
  </si>
  <si>
    <t>Geen productie SLA nodig. Dev/Test pricing op B1 = -78% t.o.v. P2v3 PAYG. 1 instance voldoende voor max 5 gelijktijdige developers.</t>
  </si>
  <si>
    <t>Geen auto-scale · geen staging slot · max 5 users gelijktijdig · SLA 99,5%</t>
  </si>
  <si>
    <t>Azure Functions (Dev)</t>
  </si>
  <si>
    <t>Consumption Plan
Dev/Test sub</t>
  </si>
  <si>
    <t>Consumption Plan
Prod sub</t>
  </si>
  <si>
    <t>Zelfde tier — Consumption is al de goedkoopste optie. Dev/Test sub geeft geen extra korting.</t>
  </si>
  <si>
    <t>Cold start hoger in Dev — acceptabel</t>
  </si>
  <si>
    <t>SQL Database Serverless
(vervangt SQL MI in NonProd)</t>
  </si>
  <si>
    <t>General Purpose
Serverless · 1-4 vCore
auto-pause 1u</t>
  </si>
  <si>
    <t>SQL MI GP · 8 vCore
(te duur voor NonProd)</t>
  </si>
  <si>
    <t>SQL MI in NonProd kost evenveel als Prod (€1.456/mnd) voor een omgeving die 16u/dag inactief is. SQL DB Serverless pauzeert automatisch → betalen alleen voor actieve compute-tijd. 95% SQL-compatibiliteit voldoende voor dev/test.</t>
  </si>
  <si>
    <t>Geen SQL Agent · geen Linked Servers · geen CLR (dev moet dit testen in Prod-mimic)</t>
  </si>
  <si>
    <t>Storage Account Dev (LRS)</t>
  </si>
  <si>
    <t>LRS · Cool tier · 200 GB</t>
  </si>
  <si>
    <t>LRS voldoende voor dev-data zonder geo-redundantie. Cool tier voor bestanden die zelden geraadpleegd worden. 200 GB ruim voldoende voor dev-datasets.</t>
  </si>
  <si>
    <t>Geen zone-redundantie · hogere retrieval kost als bestanden toch frequent gelezen</t>
  </si>
  <si>
    <t>── BEHEER NonProd ──</t>
  </si>
  <si>
    <t>Auto-shutdown VMs (20:00)</t>
  </si>
  <si>
    <t>Automation Account
Runbook auto-shutdown</t>
  </si>
  <si>
    <t>Manueel (geen korting)</t>
  </si>
  <si>
    <t>Automation Account pauzeert alle VMs elke dag om 20:00. Besparing: ~16u/24u inactief = 67% compute-tijdwinst. Gratis in Automation Account (500 job-min/mnd inbegrepen).</t>
  </si>
  <si>
    <t>VMs moeten manueel herstart worden 's ochtends (of via schedule)</t>
  </si>
  <si>
    <t>Budget Alert NonProd</t>
  </si>
  <si>
    <t>Cost Management
€250 alert + €300 hard stop</t>
  </si>
  <si>
    <t>Budget alert 80%/100%</t>
  </si>
  <si>
    <t>Budget alert bij €250 (email naar owner). Policy stopt resource-aanmaak boven €300 via Deny-policy op subscriptie-niveau.</t>
  </si>
  <si>
    <t>Hard stop via Policy kan DevOps-pipelines breken als budget overschreden</t>
  </si>
  <si>
    <t>TOTAAL MAANDKOST DEV/TEST OMGEVING</t>
  </si>
  <si>
    <t>Contoso Manufacturing — 3-Jaar TCO: On-Premises Verlenging vs Azure</t>
  </si>
  <si>
    <t>Vergelijking: On-Prem renovatie vs Azure PAYG vs Azure RI+AHB (optimaal) | West Europe 2025 prijzen</t>
  </si>
  <si>
    <t>Kostenpost</t>
  </si>
  <si>
    <t>Jaar 1</t>
  </si>
  <si>
    <t>Jaar 2</t>
  </si>
  <si>
    <t>Jaar 3</t>
  </si>
  <si>
    <t>Totaal 3J</t>
  </si>
  <si>
    <t>% van On-Prem</t>
  </si>
  <si>
    <t>Opmerking</t>
  </si>
  <si>
    <t xml:space="preserve">  ON-PREMISES — Verlengingsscenario (renovatie bestaande infra)</t>
  </si>
  <si>
    <t>Hardware vervanging (9 servers × €20K)</t>
  </si>
  <si>
    <t>Eenmalige capex jaar 1</t>
  </si>
  <si>
    <t>Windows Server 2022 licenties (9× dual-socket)</t>
  </si>
  <si>
    <t>Eenmalige capex</t>
  </si>
  <si>
    <t>SQL Server 2022 Enterprise licenties (2× dual-socket)</t>
  </si>
  <si>
    <t>F5 BIG-IP vervanging (load balancer)</t>
  </si>
  <si>
    <t>EOL 2025 — verplichte vervanging</t>
  </si>
  <si>
    <t>Netwerkapparatuur refresh (switches/routers)</t>
  </si>
  <si>
    <t>Subtotaal Capex</t>
  </si>
  <si>
    <t>Onderhoud hardware (10% van capex/jaar)</t>
  </si>
  <si>
    <t>Jaarlijks herhalend</t>
  </si>
  <si>
    <t>F5 support contract</t>
  </si>
  <si>
    <t>Netwerk onderhoud (support contracts)</t>
  </si>
  <si>
    <t>Datacenter hosting / co-locatie</t>
  </si>
  <si>
    <t>IT-beheer (0,5 FTE systeembeheerder × €80K/jaar)</t>
  </si>
  <si>
    <t>Subtotaal Opex</t>
  </si>
  <si>
    <t>TOTAAL ON-PREMISES (3 jaar)</t>
  </si>
  <si>
    <t>100,0%</t>
  </si>
  <si>
    <t>Referentiewaarde = 100%</t>
  </si>
  <si>
    <t xml:space="preserve">  AZURE — Pay-as-you-go (geen RI, geen AHB)</t>
  </si>
  <si>
    <t>Azure maandkost × 12 (PAYG)</t>
  </si>
  <si>
    <t>Gebaseerd op 'Instance Inventaris'!H59 × 12</t>
  </si>
  <si>
    <t>Migratie-eenmalig (projectkosten incl. consultancy)</t>
  </si>
  <si>
    <t>Schatting migratieproject (1× jaar 1)</t>
  </si>
  <si>
    <t>TOTAAL AZURE PAYG</t>
  </si>
  <si>
    <t xml:space="preserve">  AZURE — Reserved Instances 1J + AHB (optimaal scenario)</t>
  </si>
  <si>
    <t>Azure maandkost na RI 1J + AHB × 12</t>
  </si>
  <si>
    <t>~38% totale besparing: 30% RI + 8% AHB (zie 'AHB &amp; Reserved Instances')</t>
  </si>
  <si>
    <t>RI-investering jaar 1 (1J vooruitbetaling key resources)</t>
  </si>
  <si>
    <t>Éénmalige RI-betaling (App Service + SQL MI + VPN GW)</t>
  </si>
  <si>
    <t>Migratie-eenmalig (zelfde project als PAYG-scenario)</t>
  </si>
  <si>
    <t>TOTAAL AZURE RI + AHB</t>
  </si>
  <si>
    <t xml:space="preserve">  BESPARINGSANALYSE</t>
  </si>
  <si>
    <t>Besparing Azure PAYG vs On-Prem</t>
  </si>
  <si>
    <t>Positief = Azure goedkoper</t>
  </si>
  <si>
    <t>Besparing Azure RI+AHB vs On-Prem</t>
  </si>
  <si>
    <t>Optimaal Azure scenario</t>
  </si>
  <si>
    <t>Extra besparing RI+AHB vs PAYG</t>
  </si>
  <si>
    <t>Additionele besparing door RI+AHB keuze</t>
  </si>
  <si>
    <t>Break-even analyse: Azure RI+AHB vs On-Prem renovatie → break-even na ~9-11 maanden (jaar 1) door hoge on-prem Capex (€320K). Daarna structurele besparing van ~€36K/jaar (Azure RI+AHB vs On-Prem Opex).</t>
  </si>
  <si>
    <t>Legenda, kleurcodes &amp; aannames</t>
  </si>
  <si>
    <t>── KLEURCODES ──</t>
  </si>
  <si>
    <t>Blauwe getallen (blauw)</t>
  </si>
  <si>
    <t>Hardcoded invoer — maandprijzen die je kunt aanpassen</t>
  </si>
  <si>
    <t>Zwarte getallen (zwart)</t>
  </si>
  <si>
    <t>Formules berekend door Excel — niet handmatig aanpassen</t>
  </si>
  <si>
    <t>Categorie-achtergrond</t>
  </si>
  <si>
    <t>Kleur per categorie: Netwerk=blauw, Compute=groen, Database=paars, ...</t>
  </si>
  <si>
    <t>── PRIJSAANNAMES ──</t>
  </si>
  <si>
    <t>Regio primair</t>
  </si>
  <si>
    <t>West Europe (Amsterdam)</t>
  </si>
  <si>
    <t>Regio DR/secondary</t>
  </si>
  <si>
    <t>North Europe (Dublin)</t>
  </si>
  <si>
    <t>Prijspeil</t>
  </si>
  <si>
    <t>Azure Pricing Calculator 2025, PAYG (Pay-as-you-go)</t>
  </si>
  <si>
    <t>AHB Windows</t>
  </si>
  <si>
    <t>~18% besparing op Windows-licentiedeel (SA aanwezig)</t>
  </si>
  <si>
    <t>AHB SQL Enterprise</t>
  </si>
  <si>
    <t>~40% besparing op SQL MI licentiedeel (SA aanwezig)</t>
  </si>
  <si>
    <t>Geschat 500 GB/mnd extern dataverkeer</t>
  </si>
  <si>
    <t>Log Analytics ingestie</t>
  </si>
  <si>
    <t>Geschat 8 GB/dag = ~240 GB/mnd</t>
  </si>
  <si>
    <t>App Insights ingestie</t>
  </si>
  <si>
    <t>Geschat 5 GB/mnd APM data</t>
  </si>
  <si>
    <t>Entra ID P1</t>
  </si>
  <si>
    <t>€6,00/gebruiker/mnd × 450 gebruikers</t>
  </si>
  <si>
    <t>Gratis services (€0)</t>
  </si>
  <si>
    <t>Entra Connect Sync, Managed Identity, PIM, Conditional Access zijn inbegrepen in Entra ID P1 of gratis onderdeel van Azure</t>
  </si>
  <si>
    <t>── AFKORTINGEN ──</t>
  </si>
  <si>
    <t>ALZ</t>
  </si>
  <si>
    <t>Azure Landing Zone — Microsoft referentiearchitectuur</t>
  </si>
  <si>
    <t>AHB</t>
  </si>
  <si>
    <t>Azure Hybrid Benefit — gebruik bestaande SA-licenties in Azure</t>
  </si>
  <si>
    <t>PAYG</t>
  </si>
  <si>
    <t>Pay-As-You-Go — standaard tarieven zonder commitment</t>
  </si>
  <si>
    <t>RI</t>
  </si>
  <si>
    <t>Reserved Instances — 1 of 3 jaar vooruitbetalen voor korting</t>
  </si>
  <si>
    <t>GP</t>
  </si>
  <si>
    <t>General Purpose — standaard tier voor SQL Managed Instance</t>
  </si>
  <si>
    <t>IDPS</t>
  </si>
  <si>
    <t>Intrusion Detection &amp; Prevention System</t>
  </si>
  <si>
    <t>PHS</t>
  </si>
  <si>
    <t>Password Hash Synchronization — Entra Connect sync-methode</t>
  </si>
  <si>
    <t>ZRS</t>
  </si>
  <si>
    <t>Zone-Redundant Storage — opslag over 3 availability zones</t>
  </si>
  <si>
    <t>GRS</t>
  </si>
  <si>
    <t>Geo-Redundant Storage — opslag gerepliceerd naar secundaire regio</t>
  </si>
  <si>
    <t>PE</t>
  </si>
  <si>
    <t>Private Endpoint — privé IP-adres voor PaaS-diensten in VNet</t>
  </si>
  <si>
    <t>UDR</t>
  </si>
  <si>
    <t>User Defined Route — aangepaste routetabel voor netwerkverkeer</t>
  </si>
  <si>
    <t>LTR</t>
  </si>
  <si>
    <t>Long Term Retention — langetermijn backup retentie</t>
  </si>
  <si>
    <t>PITR</t>
  </si>
  <si>
    <t>Point-In-Time Restore — herstel naar willekeurig tijdstip in retentieperiode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</si>
</sst>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quot;(€&quot;#,##0\);\-"/>
    <numFmt numFmtId="165" formatCode="\€#,##0.00;&quot;(€&quot;#,##0.00\);\-"/>
    <numFmt numFmtId="166" formatCode="0.0%"/>
  </numFmts>
  <fonts count="45" x14ac:knownFonts="1">
    <font>
      <sz val="11"/>
      <color theme="1"/>
      <name val="Calibri"/>
      <family val="2"/>
      <charset val="1"/>
    </font>
    <font>
      <b/>
      <sz val="14"/>
      <color rgb="FFFFFFFF"/>
      <name val="Arial"/>
      <charset val="1"/>
    </font>
    <font>
      <sz val="9"/>
      <color rgb="FFFFFFFF"/>
      <name val="Arial"/>
      <charset val="1"/>
    </font>
    <font>
      <b/>
      <sz val="10"/>
      <color rgb="FFFFFFFF"/>
      <name val="Arial"/>
      <charset val="1"/>
    </font>
    <font>
      <sz val="10"/>
      <color rgb="FF3D3D3A"/>
      <name val="Arial"/>
      <charset val="1"/>
    </font>
    <font>
      <b/>
      <sz val="10"/>
      <name val="Arial"/>
      <charset val="1"/>
    </font>
    <font>
      <sz val="9"/>
      <color rgb="FF444441"/>
      <name val="Arial"/>
      <charset val="1"/>
    </font>
    <font>
      <b/>
      <sz val="9"/>
      <color rgb="FF0C447C"/>
      <name val="Arial"/>
      <charset val="1"/>
    </font>
    <font>
      <sz val="9"/>
      <name val="Arial"/>
      <charset val="1"/>
    </font>
    <font>
      <i/>
      <sz val="9"/>
      <color rgb="FF5F5E5A"/>
      <name val="Arial"/>
      <charset val="1"/>
    </font>
    <font>
      <sz val="10"/>
      <color rgb="FF0000FF"/>
      <name val="Arial"/>
      <charset val="1"/>
    </font>
    <font>
      <b/>
      <sz val="10"/>
      <color rgb="FF000000"/>
      <name val="Arial"/>
      <charset val="1"/>
    </font>
    <font>
      <b/>
      <sz val="10"/>
      <color rgb="FF0C447C"/>
      <name val="Arial"/>
      <charset val="1"/>
    </font>
    <font>
      <b/>
      <sz val="9"/>
      <color rgb="FF27500A"/>
      <name val="Arial"/>
      <charset val="1"/>
    </font>
    <font>
      <b/>
      <sz val="10"/>
      <color rgb="FF27500A"/>
      <name val="Arial"/>
      <charset val="1"/>
    </font>
    <font>
      <b/>
      <sz val="9"/>
      <color rgb="FF3C3489"/>
      <name val="Arial"/>
      <charset val="1"/>
    </font>
    <font>
      <b/>
      <sz val="10"/>
      <color rgb="FF3C3489"/>
      <name val="Arial"/>
      <charset val="1"/>
    </font>
    <font>
      <b/>
      <sz val="9"/>
      <color rgb="FF085041"/>
      <name val="Arial"/>
      <charset val="1"/>
    </font>
    <font>
      <b/>
      <sz val="10"/>
      <color rgb="FF085041"/>
      <name val="Arial"/>
      <charset val="1"/>
    </font>
    <font>
      <b/>
      <sz val="9"/>
      <color rgb="FF444441"/>
      <name val="Arial"/>
      <charset val="1"/>
    </font>
    <font>
      <sz val="10"/>
      <color rgb="FF888780"/>
      <name val="Arial"/>
      <charset val="1"/>
    </font>
    <font>
      <b/>
      <sz val="10"/>
      <color rgb="FF444441"/>
      <name val="Arial"/>
      <charset val="1"/>
    </font>
    <font>
      <b/>
      <sz val="9"/>
      <color rgb="FF791F1F"/>
      <name val="Arial"/>
      <charset val="1"/>
    </font>
    <font>
      <b/>
      <sz val="10"/>
      <color rgb="FF791F1F"/>
      <name val="Arial"/>
      <charset val="1"/>
    </font>
    <font>
      <b/>
      <sz val="9"/>
      <color rgb="FF633806"/>
      <name val="Arial"/>
      <charset val="1"/>
    </font>
    <font>
      <b/>
      <sz val="10"/>
      <color rgb="FF633806"/>
      <name val="Arial"/>
      <charset val="1"/>
    </font>
    <font>
      <b/>
      <sz val="9"/>
      <color rgb="FF72243E"/>
      <name val="Arial"/>
      <charset val="1"/>
    </font>
    <font>
      <b/>
      <sz val="10"/>
      <color rgb="FF72243E"/>
      <name val="Arial"/>
      <charset val="1"/>
    </font>
    <font>
      <b/>
      <sz val="12"/>
      <color rgb="FFFFFFFF"/>
      <name val="Arial"/>
      <charset val="1"/>
    </font>
    <font>
      <b/>
      <sz val="13"/>
      <color rgb="FFFFFFFF"/>
      <name val="Arial"/>
      <charset val="1"/>
    </font>
    <font>
      <sz val="9"/>
      <color rgb="FF000000"/>
      <name val="Arial"/>
      <charset val="1"/>
    </font>
    <font>
      <sz val="10"/>
      <name val="Arial"/>
      <charset val="1"/>
    </font>
    <font>
      <sz val="9"/>
      <color rgb="FF3D3D3A"/>
      <name val="Arial"/>
      <charset val="1"/>
    </font>
    <font>
      <sz val="10"/>
      <color rgb="FF000000"/>
      <name val="Arial"/>
      <charset val="1"/>
    </font>
    <font>
      <i/>
      <sz val="9"/>
      <color rgb="FF3D3D3A"/>
      <name val="Arial"/>
      <charset val="1"/>
    </font>
    <font>
      <b/>
      <sz val="11"/>
      <color rgb="FF1A5C2E"/>
      <name val="Arial"/>
      <charset val="1"/>
    </font>
    <font>
      <b/>
      <sz val="10"/>
      <color rgb="FF1A5C2E"/>
      <name val="Arial"/>
      <charset val="1"/>
    </font>
    <font>
      <i/>
      <sz val="9"/>
      <color rgb="FF1A5C2E"/>
      <name val="Arial"/>
      <charset val="1"/>
    </font>
    <font>
      <b/>
      <sz val="11"/>
      <color rgb="FF1B3A6B"/>
      <name val="Arial"/>
      <charset val="1"/>
    </font>
    <font>
      <b/>
      <sz val="10"/>
      <color rgb="FF1B3A6B"/>
      <name val="Arial"/>
      <charset val="1"/>
    </font>
    <font>
      <sz val="10"/>
      <color rgb="FF008000"/>
      <name val="Arial"/>
      <charset val="1"/>
    </font>
    <font>
      <sz val="10"/>
      <color rgb="FF1A5C2E"/>
      <name val="Arial"/>
      <charset val="1"/>
    </font>
    <font>
      <sz val="10"/>
      <color rgb="FF1B3A6B"/>
      <name val="Arial"/>
      <charset val="1"/>
    </font>
    <font>
      <b/>
      <sz val="11"/>
      <color rgb="FFFFFFFF"/>
      <name val="Arial"/>
      <charset val="1"/>
    </font>
    <font>
      <i/>
      <sz val="9"/>
      <color rgb="FFFFFFFF"/>
      <name val="Arial"/>
      <charset val="1"/>
    </font>
  </fonts>
  <fills count="24">
    <fill>
      <patternFill patternType="none"/>
    </fill>
    <fill>
      <patternFill patternType="gray125"/>
    </fill>
    <fill>
      <patternFill patternType="solid">
        <fgColor rgb="FF1B3A6B"/>
        <bgColor rgb="FF0C447C"/>
      </patternFill>
    </fill>
    <fill>
      <patternFill patternType="solid">
        <fgColor rgb="FF2E5EAA"/>
        <bgColor rgb="FF1B4F8A"/>
      </patternFill>
    </fill>
    <fill>
      <patternFill patternType="solid">
        <fgColor rgb="FF2C2C2A"/>
        <bgColor rgb="FF3D3D3A"/>
      </patternFill>
    </fill>
    <fill>
      <patternFill patternType="solid">
        <fgColor rgb="FFFFFFFF"/>
        <bgColor rgb="FFFAFAFA"/>
      </patternFill>
    </fill>
    <fill>
      <patternFill patternType="solid">
        <fgColor rgb="FFE6F1FB"/>
        <bgColor rgb="FFEEEDFE"/>
      </patternFill>
    </fill>
    <fill>
      <patternFill patternType="solid">
        <fgColor rgb="FFFAFAFA"/>
        <bgColor rgb="FFFFFFFF"/>
      </patternFill>
    </fill>
    <fill>
      <patternFill patternType="solid">
        <fgColor rgb="FFEAF3DE"/>
        <bgColor rgb="FFF1EFE8"/>
      </patternFill>
    </fill>
    <fill>
      <patternFill patternType="solid">
        <fgColor rgb="FFEEEDFE"/>
        <bgColor rgb="FFE6F1FB"/>
      </patternFill>
    </fill>
    <fill>
      <patternFill patternType="solid">
        <fgColor rgb="FFE1F5EE"/>
        <bgColor rgb="FFE6F1FB"/>
      </patternFill>
    </fill>
    <fill>
      <patternFill patternType="solid">
        <fgColor rgb="FFF1EFE8"/>
        <bgColor rgb="FFEAF3DE"/>
      </patternFill>
    </fill>
    <fill>
      <patternFill patternType="solid">
        <fgColor rgb="FFFCEBEB"/>
        <bgColor rgb="FFFBEAF0"/>
      </patternFill>
    </fill>
    <fill>
      <patternFill patternType="solid">
        <fgColor rgb="FFFAEEDA"/>
        <bgColor rgb="FFFCEBEB"/>
      </patternFill>
    </fill>
    <fill>
      <patternFill patternType="solid">
        <fgColor rgb="FFFBEAF0"/>
        <bgColor rgb="FFFCEBEB"/>
      </patternFill>
    </fill>
    <fill>
      <patternFill patternType="solid">
        <fgColor rgb="FF1A5C2E"/>
        <bgColor rgb="FF085041"/>
      </patternFill>
    </fill>
    <fill>
      <patternFill patternType="solid">
        <fgColor rgb="FF3D3D3A"/>
        <bgColor rgb="FF444441"/>
      </patternFill>
    </fill>
    <fill>
      <patternFill patternType="solid">
        <fgColor rgb="FFF5F5F5"/>
        <bgColor rgb="FFFAFAFA"/>
      </patternFill>
    </fill>
    <fill>
      <patternFill patternType="solid">
        <fgColor rgb="FFD4EDDA"/>
        <bgColor rgb="FFE1F5EE"/>
      </patternFill>
    </fill>
    <fill>
      <patternFill patternType="solid">
        <fgColor rgb="FFD6E4F7"/>
        <bgColor rgb="FFD4EDDA"/>
      </patternFill>
    </fill>
    <fill>
      <patternFill patternType="solid">
        <fgColor rgb="FF8B1A1A"/>
        <bgColor rgb="FF791F1F"/>
      </patternFill>
    </fill>
    <fill>
      <patternFill patternType="solid">
        <fgColor rgb="FFB22222"/>
        <bgColor rgb="FF8B1A1A"/>
      </patternFill>
    </fill>
    <fill>
      <patternFill patternType="solid">
        <fgColor rgb="FF6B1414"/>
        <bgColor rgb="FF791F1F"/>
      </patternFill>
    </fill>
    <fill>
      <patternFill patternType="solid">
        <fgColor rgb="FF1B4F8A"/>
        <bgColor rgb="FF0C447C"/>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thin">
        <color rgb="FFCCCCCC"/>
      </left>
      <right/>
      <top style="thin">
        <color rgb="FFCCCCCC"/>
      </top>
      <bottom style="thin">
        <color rgb="FFCCCCCC"/>
      </bottom>
      <diagonal/>
    </border>
  </borders>
  <cellStyleXfs count="1">
    <xf numFmtId="0" fontId="0" fillId="0" borderId="0"/>
  </cellStyleXfs>
  <cellXfs count="149">
    <xf numFmtId="0" fontId="0" fillId="0" borderId="0" xfId="0"/>
    <xf numFmtId="0" fontId="29" fillId="2" borderId="0" xfId="0" applyFont="1" applyFill="1" applyAlignment="1">
      <alignment horizontal="center" vertical="center" wrapText="1"/>
    </xf>
    <xf numFmtId="0" fontId="28" fillId="15" borderId="2" xfId="0" applyFont="1" applyFill="1" applyBorder="1" applyAlignment="1">
      <alignment horizontal="right" vertical="center"/>
    </xf>
    <xf numFmtId="0" fontId="28" fillId="2" borderId="2" xfId="0" applyFont="1" applyFill="1" applyBorder="1" applyAlignment="1">
      <alignment horizontal="right" vertical="center"/>
    </xf>
    <xf numFmtId="0" fontId="27" fillId="14" borderId="2" xfId="0" applyFont="1" applyFill="1" applyBorder="1" applyAlignment="1">
      <alignment horizontal="right" vertical="center"/>
    </xf>
    <xf numFmtId="0" fontId="25" fillId="13" borderId="2" xfId="0" applyFont="1" applyFill="1" applyBorder="1" applyAlignment="1">
      <alignment horizontal="right" vertical="center"/>
    </xf>
    <xf numFmtId="0" fontId="23" fillId="12" borderId="2" xfId="0" applyFont="1" applyFill="1" applyBorder="1" applyAlignment="1">
      <alignment horizontal="right" vertical="center"/>
    </xf>
    <xf numFmtId="0" fontId="21" fillId="11" borderId="2" xfId="0" applyFont="1" applyFill="1" applyBorder="1" applyAlignment="1">
      <alignment horizontal="right" vertical="center"/>
    </xf>
    <xf numFmtId="0" fontId="18" fillId="10" borderId="2" xfId="0" applyFont="1" applyFill="1" applyBorder="1" applyAlignment="1">
      <alignment horizontal="right" vertical="center"/>
    </xf>
    <xf numFmtId="0" fontId="16" fillId="9" borderId="2" xfId="0" applyFont="1" applyFill="1" applyBorder="1" applyAlignment="1">
      <alignment horizontal="right" vertical="center"/>
    </xf>
    <xf numFmtId="0" fontId="14" fillId="8" borderId="2" xfId="0" applyFont="1" applyFill="1" applyBorder="1" applyAlignment="1">
      <alignment horizontal="right" vertical="center"/>
    </xf>
    <xf numFmtId="0" fontId="12" fillId="6" borderId="2" xfId="0" applyFont="1" applyFill="1" applyBorder="1" applyAlignment="1">
      <alignment horizontal="right" vertical="center"/>
    </xf>
    <xf numFmtId="0" fontId="3" fillId="4" borderId="2" xfId="0" applyFont="1" applyFill="1" applyBorder="1" applyAlignment="1">
      <alignment horizontal="left" vertical="center"/>
    </xf>
    <xf numFmtId="0" fontId="2" fillId="3" borderId="0" xfId="0" applyFont="1" applyFill="1" applyAlignment="1">
      <alignment horizontal="center" vertical="center"/>
    </xf>
    <xf numFmtId="0" fontId="1" fillId="2" borderId="0" xfId="0" applyFont="1" applyFill="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4" fillId="5" borderId="1" xfId="0" applyFont="1" applyFill="1" applyBorder="1" applyAlignment="1">
      <alignment horizontal="center" vertical="top"/>
    </xf>
    <xf numFmtId="0" fontId="5" fillId="5"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6" borderId="1" xfId="0" applyFont="1" applyFill="1" applyBorder="1" applyAlignment="1">
      <alignment horizontal="center" vertical="top"/>
    </xf>
    <xf numFmtId="0" fontId="8" fillId="5" borderId="1" xfId="0" applyFont="1" applyFill="1" applyBorder="1" applyAlignment="1">
      <alignment horizontal="left" vertical="top" wrapText="1"/>
    </xf>
    <xf numFmtId="0" fontId="9" fillId="5" borderId="1" xfId="0" applyFont="1" applyFill="1" applyBorder="1" applyAlignment="1">
      <alignment horizontal="left" vertical="top" wrapText="1"/>
    </xf>
    <xf numFmtId="164" fontId="10" fillId="5" borderId="1" xfId="0" applyNumberFormat="1" applyFont="1" applyFill="1" applyBorder="1" applyAlignment="1">
      <alignment horizontal="right" vertical="center"/>
    </xf>
    <xf numFmtId="164" fontId="11" fillId="5" borderId="1" xfId="0" applyNumberFormat="1" applyFont="1" applyFill="1" applyBorder="1" applyAlignment="1">
      <alignment horizontal="right" vertical="center"/>
    </xf>
    <xf numFmtId="0" fontId="4" fillId="7" borderId="1" xfId="0" applyFont="1" applyFill="1" applyBorder="1" applyAlignment="1">
      <alignment horizontal="center" vertical="top"/>
    </xf>
    <xf numFmtId="0" fontId="5" fillId="7" borderId="1" xfId="0" applyFont="1" applyFill="1" applyBorder="1" applyAlignment="1">
      <alignment horizontal="left" vertical="top" wrapText="1"/>
    </xf>
    <xf numFmtId="0" fontId="6" fillId="7" borderId="1" xfId="0" applyFont="1" applyFill="1" applyBorder="1" applyAlignment="1">
      <alignment horizontal="left" vertical="top" wrapText="1"/>
    </xf>
    <xf numFmtId="0" fontId="8" fillId="7" borderId="1" xfId="0" applyFont="1" applyFill="1" applyBorder="1" applyAlignment="1">
      <alignment horizontal="left" vertical="top" wrapText="1"/>
    </xf>
    <xf numFmtId="0" fontId="9" fillId="7" borderId="1" xfId="0" applyFont="1" applyFill="1" applyBorder="1" applyAlignment="1">
      <alignment horizontal="left" vertical="top" wrapText="1"/>
    </xf>
    <xf numFmtId="164" fontId="10" fillId="7" borderId="1" xfId="0" applyNumberFormat="1" applyFont="1" applyFill="1" applyBorder="1" applyAlignment="1">
      <alignment horizontal="right" vertical="center"/>
    </xf>
    <xf numFmtId="164" fontId="11" fillId="7" borderId="1" xfId="0" applyNumberFormat="1" applyFont="1" applyFill="1" applyBorder="1" applyAlignment="1">
      <alignment horizontal="right" vertical="center"/>
    </xf>
    <xf numFmtId="164" fontId="12" fillId="6" borderId="1" xfId="0" applyNumberFormat="1" applyFont="1" applyFill="1" applyBorder="1" applyAlignment="1">
      <alignment horizontal="right" vertical="center"/>
    </xf>
    <xf numFmtId="0" fontId="13" fillId="8" borderId="1" xfId="0" applyFont="1" applyFill="1" applyBorder="1" applyAlignment="1">
      <alignment horizontal="center" vertical="top"/>
    </xf>
    <xf numFmtId="164" fontId="14" fillId="8" borderId="1" xfId="0" applyNumberFormat="1" applyFont="1" applyFill="1" applyBorder="1" applyAlignment="1">
      <alignment horizontal="right" vertical="center"/>
    </xf>
    <xf numFmtId="0" fontId="15" fillId="9" borderId="1" xfId="0" applyFont="1" applyFill="1" applyBorder="1" applyAlignment="1">
      <alignment horizontal="center" vertical="top"/>
    </xf>
    <xf numFmtId="164" fontId="16" fillId="9" borderId="1" xfId="0" applyNumberFormat="1" applyFont="1" applyFill="1" applyBorder="1" applyAlignment="1">
      <alignment horizontal="right" vertical="center"/>
    </xf>
    <xf numFmtId="0" fontId="17" fillId="10" borderId="1" xfId="0" applyFont="1" applyFill="1" applyBorder="1" applyAlignment="1">
      <alignment horizontal="center" vertical="top"/>
    </xf>
    <xf numFmtId="164" fontId="18" fillId="10" borderId="1" xfId="0" applyNumberFormat="1" applyFont="1" applyFill="1" applyBorder="1" applyAlignment="1">
      <alignment horizontal="right" vertical="center"/>
    </xf>
    <xf numFmtId="0" fontId="19" fillId="11" borderId="1" xfId="0" applyFont="1" applyFill="1" applyBorder="1" applyAlignment="1">
      <alignment horizontal="center" vertical="top"/>
    </xf>
    <xf numFmtId="164" fontId="20" fillId="7" borderId="1" xfId="0" applyNumberFormat="1" applyFont="1" applyFill="1" applyBorder="1" applyAlignment="1">
      <alignment horizontal="right" vertical="center"/>
    </xf>
    <xf numFmtId="164" fontId="21" fillId="11" borderId="1" xfId="0" applyNumberFormat="1" applyFont="1" applyFill="1" applyBorder="1" applyAlignment="1">
      <alignment horizontal="right" vertical="center"/>
    </xf>
    <xf numFmtId="0" fontId="22" fillId="12" borderId="1" xfId="0" applyFont="1" applyFill="1" applyBorder="1" applyAlignment="1">
      <alignment horizontal="center" vertical="top"/>
    </xf>
    <xf numFmtId="164" fontId="20" fillId="5" borderId="1" xfId="0" applyNumberFormat="1" applyFont="1" applyFill="1" applyBorder="1" applyAlignment="1">
      <alignment horizontal="right" vertical="center"/>
    </xf>
    <xf numFmtId="164" fontId="23" fillId="12" borderId="1" xfId="0" applyNumberFormat="1" applyFont="1" applyFill="1" applyBorder="1" applyAlignment="1">
      <alignment horizontal="right" vertical="center"/>
    </xf>
    <xf numFmtId="0" fontId="24" fillId="13" borderId="1" xfId="0" applyFont="1" applyFill="1" applyBorder="1" applyAlignment="1">
      <alignment horizontal="center" vertical="top"/>
    </xf>
    <xf numFmtId="164" fontId="25" fillId="13" borderId="1" xfId="0" applyNumberFormat="1" applyFont="1" applyFill="1" applyBorder="1" applyAlignment="1">
      <alignment horizontal="right" vertical="center"/>
    </xf>
    <xf numFmtId="0" fontId="26" fillId="14" borderId="1" xfId="0" applyFont="1" applyFill="1" applyBorder="1" applyAlignment="1">
      <alignment horizontal="center" vertical="top"/>
    </xf>
    <xf numFmtId="164" fontId="27" fillId="14" borderId="1" xfId="0" applyNumberFormat="1" applyFont="1" applyFill="1" applyBorder="1" applyAlignment="1">
      <alignment horizontal="right" vertical="center"/>
    </xf>
    <xf numFmtId="164" fontId="28" fillId="2" borderId="1" xfId="0" applyNumberFormat="1" applyFont="1" applyFill="1" applyBorder="1" applyAlignment="1">
      <alignment horizontal="right" vertical="center"/>
    </xf>
    <xf numFmtId="164" fontId="28" fillId="15" borderId="1" xfId="0" applyNumberFormat="1" applyFont="1" applyFill="1" applyBorder="1" applyAlignment="1">
      <alignment horizontal="right" vertical="center"/>
    </xf>
    <xf numFmtId="0" fontId="30" fillId="5" borderId="1" xfId="0" applyFont="1" applyFill="1" applyBorder="1" applyAlignment="1">
      <alignment horizontal="left" vertical="top" wrapText="1" indent="1"/>
    </xf>
    <xf numFmtId="0" fontId="6" fillId="5" borderId="1" xfId="0" applyFont="1" applyFill="1" applyBorder="1" applyAlignment="1">
      <alignment horizontal="left" vertical="top" wrapText="1" indent="1"/>
    </xf>
    <xf numFmtId="0" fontId="5" fillId="17" borderId="1" xfId="0" applyFont="1" applyFill="1" applyBorder="1" applyAlignment="1">
      <alignment horizontal="left" vertical="top" wrapText="1"/>
    </xf>
    <xf numFmtId="0" fontId="30" fillId="17" borderId="1" xfId="0" applyFont="1" applyFill="1" applyBorder="1" applyAlignment="1">
      <alignment horizontal="left" vertical="top" wrapText="1" indent="1"/>
    </xf>
    <xf numFmtId="0" fontId="6" fillId="17" borderId="1" xfId="0" applyFont="1" applyFill="1" applyBorder="1" applyAlignment="1">
      <alignment horizontal="left" vertical="top" wrapText="1" indent="1"/>
    </xf>
    <xf numFmtId="0" fontId="31" fillId="5" borderId="1" xfId="0" applyFont="1" applyFill="1" applyBorder="1" applyAlignment="1">
      <alignment horizontal="left" vertical="center" indent="1"/>
    </xf>
    <xf numFmtId="0" fontId="32" fillId="5" borderId="1" xfId="0" applyFont="1" applyFill="1" applyBorder="1" applyAlignment="1">
      <alignment horizontal="left" vertical="center" indent="1"/>
    </xf>
    <xf numFmtId="165" fontId="10" fillId="5" borderId="1" xfId="0" applyNumberFormat="1" applyFont="1" applyFill="1" applyBorder="1" applyAlignment="1">
      <alignment horizontal="right" vertical="center"/>
    </xf>
    <xf numFmtId="166" fontId="10" fillId="5" borderId="1" xfId="0" applyNumberFormat="1" applyFont="1" applyFill="1" applyBorder="1" applyAlignment="1">
      <alignment horizontal="right" vertical="center"/>
    </xf>
    <xf numFmtId="165" fontId="33" fillId="5" borderId="1" xfId="0" applyNumberFormat="1" applyFont="1" applyFill="1" applyBorder="1" applyAlignment="1">
      <alignment horizontal="right" vertical="center"/>
    </xf>
    <xf numFmtId="164" fontId="33" fillId="5" borderId="1" xfId="0" applyNumberFormat="1" applyFont="1" applyFill="1" applyBorder="1" applyAlignment="1">
      <alignment horizontal="right" vertical="center"/>
    </xf>
    <xf numFmtId="0" fontId="34" fillId="5" borderId="1" xfId="0" applyFont="1" applyFill="1" applyBorder="1" applyAlignment="1">
      <alignment horizontal="left" vertical="center"/>
    </xf>
    <xf numFmtId="0" fontId="31" fillId="17" borderId="1" xfId="0" applyFont="1" applyFill="1" applyBorder="1" applyAlignment="1">
      <alignment horizontal="left" vertical="center" indent="1"/>
    </xf>
    <xf numFmtId="0" fontId="32" fillId="17" borderId="1" xfId="0" applyFont="1" applyFill="1" applyBorder="1" applyAlignment="1">
      <alignment horizontal="left" vertical="center" indent="1"/>
    </xf>
    <xf numFmtId="165" fontId="10" fillId="17" borderId="1" xfId="0" applyNumberFormat="1" applyFont="1" applyFill="1" applyBorder="1" applyAlignment="1">
      <alignment horizontal="right" vertical="center"/>
    </xf>
    <xf numFmtId="166" fontId="10" fillId="17" borderId="1" xfId="0" applyNumberFormat="1" applyFont="1" applyFill="1" applyBorder="1" applyAlignment="1">
      <alignment horizontal="right" vertical="center"/>
    </xf>
    <xf numFmtId="165" fontId="33" fillId="17" borderId="1" xfId="0" applyNumberFormat="1" applyFont="1" applyFill="1" applyBorder="1" applyAlignment="1">
      <alignment horizontal="right" vertical="center"/>
    </xf>
    <xf numFmtId="164" fontId="33" fillId="17" borderId="1" xfId="0" applyNumberFormat="1" applyFont="1" applyFill="1" applyBorder="1" applyAlignment="1">
      <alignment horizontal="right" vertical="center"/>
    </xf>
    <xf numFmtId="0" fontId="34" fillId="17" borderId="1" xfId="0" applyFont="1" applyFill="1" applyBorder="1" applyAlignment="1">
      <alignment horizontal="left" vertical="center"/>
    </xf>
    <xf numFmtId="165" fontId="36" fillId="18" borderId="1" xfId="0" applyNumberFormat="1" applyFont="1" applyFill="1" applyBorder="1" applyAlignment="1">
      <alignment horizontal="right" vertical="center"/>
    </xf>
    <xf numFmtId="164" fontId="36" fillId="18" borderId="1" xfId="0" applyNumberFormat="1" applyFont="1" applyFill="1" applyBorder="1" applyAlignment="1">
      <alignment horizontal="right" vertical="center"/>
    </xf>
    <xf numFmtId="0" fontId="37" fillId="18" borderId="1" xfId="0" applyFont="1" applyFill="1" applyBorder="1"/>
    <xf numFmtId="165" fontId="39" fillId="19" borderId="1" xfId="0" applyNumberFormat="1" applyFont="1" applyFill="1" applyBorder="1" applyAlignment="1">
      <alignment horizontal="right" vertical="center"/>
    </xf>
    <xf numFmtId="164" fontId="39" fillId="19" borderId="1" xfId="0" applyNumberFormat="1" applyFont="1" applyFill="1" applyBorder="1" applyAlignment="1">
      <alignment horizontal="right" vertical="center"/>
    </xf>
    <xf numFmtId="0" fontId="0" fillId="19" borderId="1" xfId="0" applyFill="1" applyBorder="1"/>
    <xf numFmtId="164" fontId="40" fillId="17" borderId="1" xfId="0" applyNumberFormat="1" applyFont="1" applyFill="1" applyBorder="1" applyAlignment="1">
      <alignment horizontal="right" vertical="center"/>
    </xf>
    <xf numFmtId="0" fontId="0" fillId="17" borderId="1" xfId="0" applyFill="1" applyBorder="1"/>
    <xf numFmtId="164" fontId="41" fillId="17" borderId="1" xfId="0" applyNumberFormat="1" applyFont="1" applyFill="1" applyBorder="1" applyAlignment="1">
      <alignment horizontal="right" vertical="center"/>
    </xf>
    <xf numFmtId="164" fontId="42" fillId="17" borderId="1" xfId="0" applyNumberFormat="1" applyFont="1" applyFill="1" applyBorder="1" applyAlignment="1">
      <alignment horizontal="right" vertical="center"/>
    </xf>
    <xf numFmtId="0" fontId="0" fillId="15" borderId="1" xfId="0" applyFill="1" applyBorder="1"/>
    <xf numFmtId="0" fontId="8" fillId="17" borderId="1" xfId="0" applyFont="1" applyFill="1" applyBorder="1" applyAlignment="1">
      <alignment horizontal="left" vertical="top" wrapText="1" indent="1"/>
    </xf>
    <xf numFmtId="0" fontId="32" fillId="17" borderId="1" xfId="0" applyFont="1" applyFill="1" applyBorder="1" applyAlignment="1">
      <alignment horizontal="left" vertical="top" wrapText="1" indent="1"/>
    </xf>
    <xf numFmtId="165" fontId="4" fillId="17" borderId="1" xfId="0" applyNumberFormat="1" applyFont="1" applyFill="1" applyBorder="1" applyAlignment="1">
      <alignment horizontal="right" vertical="center"/>
    </xf>
    <xf numFmtId="166" fontId="33" fillId="17" borderId="1" xfId="0" applyNumberFormat="1" applyFont="1" applyFill="1" applyBorder="1" applyAlignment="1">
      <alignment horizontal="right" vertical="center"/>
    </xf>
    <xf numFmtId="0" fontId="34" fillId="17" borderId="1" xfId="0" applyFont="1" applyFill="1" applyBorder="1" applyAlignment="1">
      <alignment horizontal="left" vertical="top" wrapText="1" indent="1"/>
    </xf>
    <xf numFmtId="0" fontId="8" fillId="5" borderId="1" xfId="0" applyFont="1" applyFill="1" applyBorder="1" applyAlignment="1">
      <alignment horizontal="left" vertical="top" wrapText="1" indent="1"/>
    </xf>
    <xf numFmtId="0" fontId="32" fillId="5" borderId="1" xfId="0" applyFont="1" applyFill="1" applyBorder="1" applyAlignment="1">
      <alignment horizontal="left" vertical="top" wrapText="1" indent="1"/>
    </xf>
    <xf numFmtId="165" fontId="4" fillId="5" borderId="1" xfId="0" applyNumberFormat="1" applyFont="1" applyFill="1" applyBorder="1" applyAlignment="1">
      <alignment horizontal="right" vertical="center"/>
    </xf>
    <xf numFmtId="166" fontId="33" fillId="5" borderId="1" xfId="0" applyNumberFormat="1" applyFont="1" applyFill="1" applyBorder="1" applyAlignment="1">
      <alignment horizontal="right" vertical="center"/>
    </xf>
    <xf numFmtId="0" fontId="34" fillId="5" borderId="1" xfId="0" applyFont="1" applyFill="1" applyBorder="1" applyAlignment="1">
      <alignment horizontal="left" vertical="top" wrapText="1" indent="1"/>
    </xf>
    <xf numFmtId="0" fontId="43" fillId="2" borderId="1" xfId="0" applyFont="1" applyFill="1" applyBorder="1" applyAlignment="1">
      <alignment horizontal="right" vertical="center"/>
    </xf>
    <xf numFmtId="164" fontId="43" fillId="2" borderId="1" xfId="0" applyNumberFormat="1" applyFont="1" applyFill="1" applyBorder="1" applyAlignment="1">
      <alignment horizontal="right" vertical="center"/>
    </xf>
    <xf numFmtId="166" fontId="43" fillId="2" borderId="1" xfId="0" applyNumberFormat="1" applyFont="1" applyFill="1" applyBorder="1" applyAlignment="1">
      <alignment horizontal="right" vertical="center"/>
    </xf>
    <xf numFmtId="0" fontId="0" fillId="2" borderId="1" xfId="0" applyFill="1" applyBorder="1"/>
    <xf numFmtId="0" fontId="33" fillId="12" borderId="1" xfId="0" applyFont="1" applyFill="1" applyBorder="1" applyAlignment="1">
      <alignment horizontal="left" vertical="center" indent="1"/>
    </xf>
    <xf numFmtId="164" fontId="10" fillId="12" borderId="1" xfId="0" applyNumberFormat="1" applyFont="1" applyFill="1" applyBorder="1" applyAlignment="1">
      <alignment horizontal="right" vertical="center"/>
    </xf>
    <xf numFmtId="164" fontId="33" fillId="12" borderId="1" xfId="0" applyNumberFormat="1" applyFont="1" applyFill="1" applyBorder="1" applyAlignment="1">
      <alignment horizontal="right" vertical="center"/>
    </xf>
    <xf numFmtId="0" fontId="0" fillId="12" borderId="1" xfId="0" applyFill="1" applyBorder="1"/>
    <xf numFmtId="0" fontId="34" fillId="12" borderId="1" xfId="0" applyFont="1" applyFill="1" applyBorder="1" applyAlignment="1">
      <alignment horizontal="left" vertical="center" wrapText="1"/>
    </xf>
    <xf numFmtId="0" fontId="3" fillId="21" borderId="1" xfId="0" applyFont="1" applyFill="1" applyBorder="1" applyAlignment="1">
      <alignment horizontal="right" vertical="center"/>
    </xf>
    <xf numFmtId="164" fontId="3" fillId="21" borderId="1" xfId="0" applyNumberFormat="1" applyFont="1" applyFill="1" applyBorder="1" applyAlignment="1">
      <alignment horizontal="right" vertical="center"/>
    </xf>
    <xf numFmtId="0" fontId="0" fillId="21" borderId="1" xfId="0" applyFill="1" applyBorder="1"/>
    <xf numFmtId="0" fontId="33" fillId="17" borderId="1" xfId="0" applyFont="1" applyFill="1" applyBorder="1" applyAlignment="1">
      <alignment horizontal="left" vertical="center" indent="1"/>
    </xf>
    <xf numFmtId="164" fontId="10" fillId="17" borderId="1" xfId="0" applyNumberFormat="1" applyFont="1" applyFill="1" applyBorder="1" applyAlignment="1">
      <alignment horizontal="right" vertical="center"/>
    </xf>
    <xf numFmtId="0" fontId="34" fillId="17" borderId="1" xfId="0" applyFont="1" applyFill="1" applyBorder="1" applyAlignment="1">
      <alignment horizontal="left" vertical="center" wrapText="1"/>
    </xf>
    <xf numFmtId="0" fontId="43" fillId="22" borderId="1" xfId="0" applyFont="1" applyFill="1" applyBorder="1" applyAlignment="1">
      <alignment horizontal="right" vertical="center"/>
    </xf>
    <xf numFmtId="164" fontId="43" fillId="22" borderId="1" xfId="0" applyNumberFormat="1" applyFont="1" applyFill="1" applyBorder="1" applyAlignment="1">
      <alignment horizontal="right" vertical="center"/>
    </xf>
    <xf numFmtId="0" fontId="43" fillId="22" borderId="1" xfId="0" applyFont="1" applyFill="1" applyBorder="1" applyAlignment="1">
      <alignment horizontal="center" vertical="center"/>
    </xf>
    <xf numFmtId="0" fontId="44" fillId="22" borderId="1" xfId="0" applyFont="1" applyFill="1" applyBorder="1"/>
    <xf numFmtId="0" fontId="33" fillId="19" borderId="1" xfId="0" applyFont="1" applyFill="1" applyBorder="1" applyAlignment="1">
      <alignment horizontal="left" vertical="center" indent="1"/>
    </xf>
    <xf numFmtId="164" fontId="10" fillId="19" borderId="1" xfId="0" applyNumberFormat="1" applyFont="1" applyFill="1" applyBorder="1" applyAlignment="1">
      <alignment horizontal="right" vertical="center"/>
    </xf>
    <xf numFmtId="164" fontId="33" fillId="19" borderId="1" xfId="0" applyNumberFormat="1" applyFont="1" applyFill="1" applyBorder="1" applyAlignment="1">
      <alignment horizontal="right" vertical="center"/>
    </xf>
    <xf numFmtId="0" fontId="34" fillId="19" borderId="1" xfId="0" applyFont="1" applyFill="1" applyBorder="1" applyAlignment="1">
      <alignment horizontal="left" vertical="center" wrapText="1"/>
    </xf>
    <xf numFmtId="166" fontId="43" fillId="2" borderId="1" xfId="0" applyNumberFormat="1" applyFont="1" applyFill="1" applyBorder="1" applyAlignment="1">
      <alignment horizontal="center" vertical="center"/>
    </xf>
    <xf numFmtId="0" fontId="33" fillId="18" borderId="1" xfId="0" applyFont="1" applyFill="1" applyBorder="1" applyAlignment="1">
      <alignment horizontal="left" vertical="center" indent="1"/>
    </xf>
    <xf numFmtId="164" fontId="10" fillId="18" borderId="1" xfId="0" applyNumberFormat="1" applyFont="1" applyFill="1" applyBorder="1" applyAlignment="1">
      <alignment horizontal="right" vertical="center"/>
    </xf>
    <xf numFmtId="164" fontId="33" fillId="18" borderId="1" xfId="0" applyNumberFormat="1" applyFont="1" applyFill="1" applyBorder="1" applyAlignment="1">
      <alignment horizontal="right" vertical="center"/>
    </xf>
    <xf numFmtId="0" fontId="0" fillId="18" borderId="1" xfId="0" applyFill="1" applyBorder="1"/>
    <xf numFmtId="0" fontId="34" fillId="18" borderId="1" xfId="0" applyFont="1" applyFill="1" applyBorder="1" applyAlignment="1">
      <alignment horizontal="left" vertical="center" wrapText="1"/>
    </xf>
    <xf numFmtId="0" fontId="43" fillId="15" borderId="1" xfId="0" applyFont="1" applyFill="1" applyBorder="1" applyAlignment="1">
      <alignment horizontal="right" vertical="center"/>
    </xf>
    <xf numFmtId="164" fontId="43" fillId="15" borderId="1" xfId="0" applyNumberFormat="1" applyFont="1" applyFill="1" applyBorder="1" applyAlignment="1">
      <alignment horizontal="right" vertical="center"/>
    </xf>
    <xf numFmtId="166" fontId="43" fillId="15" borderId="1" xfId="0" applyNumberFormat="1" applyFont="1" applyFill="1" applyBorder="1" applyAlignment="1">
      <alignment horizontal="center" vertical="center"/>
    </xf>
    <xf numFmtId="0" fontId="39" fillId="19" borderId="1" xfId="0" applyFont="1" applyFill="1" applyBorder="1" applyAlignment="1">
      <alignment horizontal="left" vertical="center" indent="1"/>
    </xf>
    <xf numFmtId="164" fontId="36" fillId="19" borderId="1" xfId="0" applyNumberFormat="1" applyFont="1" applyFill="1" applyBorder="1" applyAlignment="1">
      <alignment horizontal="right" vertical="center"/>
    </xf>
    <xf numFmtId="166" fontId="36" fillId="19" borderId="1" xfId="0" applyNumberFormat="1" applyFont="1" applyFill="1" applyBorder="1" applyAlignment="1">
      <alignment horizontal="center" vertical="center"/>
    </xf>
    <xf numFmtId="0" fontId="39" fillId="18" borderId="1" xfId="0" applyFont="1" applyFill="1" applyBorder="1" applyAlignment="1">
      <alignment horizontal="left" vertical="center" indent="1"/>
    </xf>
    <xf numFmtId="166" fontId="36" fillId="18" borderId="1" xfId="0" applyNumberFormat="1" applyFont="1" applyFill="1" applyBorder="1" applyAlignment="1">
      <alignment horizontal="center" vertical="center"/>
    </xf>
    <xf numFmtId="0" fontId="39" fillId="17" borderId="1" xfId="0" applyFont="1" applyFill="1" applyBorder="1" applyAlignment="1">
      <alignment horizontal="left" vertical="center" indent="1"/>
    </xf>
    <xf numFmtId="164" fontId="36" fillId="17" borderId="1" xfId="0" applyNumberFormat="1" applyFont="1" applyFill="1" applyBorder="1" applyAlignment="1">
      <alignment horizontal="right" vertical="center"/>
    </xf>
    <xf numFmtId="166" fontId="36" fillId="17" borderId="1" xfId="0" applyNumberFormat="1" applyFont="1" applyFill="1" applyBorder="1" applyAlignment="1">
      <alignment horizontal="center" vertical="center"/>
    </xf>
    <xf numFmtId="0" fontId="5" fillId="5" borderId="1" xfId="0" applyFont="1" applyFill="1" applyBorder="1" applyAlignment="1">
      <alignment horizontal="left" vertical="top" wrapText="1" indent="1"/>
    </xf>
    <xf numFmtId="0" fontId="31" fillId="5" borderId="1" xfId="0" applyFont="1" applyFill="1" applyBorder="1" applyAlignment="1">
      <alignment horizontal="left" vertical="top" wrapText="1"/>
    </xf>
    <xf numFmtId="0" fontId="5" fillId="17" borderId="1" xfId="0" applyFont="1" applyFill="1" applyBorder="1" applyAlignment="1">
      <alignment horizontal="left" vertical="top" wrapText="1" indent="1"/>
    </xf>
    <xf numFmtId="0" fontId="31" fillId="17" borderId="1" xfId="0" applyFont="1" applyFill="1" applyBorder="1" applyAlignment="1">
      <alignment horizontal="left" vertical="top" wrapText="1"/>
    </xf>
    <xf numFmtId="0" fontId="2" fillId="3" borderId="0" xfId="0" applyFont="1" applyFill="1" applyAlignment="1">
      <alignment horizontal="center" vertical="center" wrapText="1"/>
    </xf>
    <xf numFmtId="0" fontId="3" fillId="16" borderId="2" xfId="0" applyFont="1" applyFill="1" applyBorder="1" applyAlignment="1">
      <alignment horizontal="left" vertical="center" indent="1"/>
    </xf>
    <xf numFmtId="0" fontId="3" fillId="16" borderId="2" xfId="0" applyFont="1" applyFill="1" applyBorder="1" applyAlignment="1">
      <alignment horizontal="left" vertical="center"/>
    </xf>
    <xf numFmtId="0" fontId="35" fillId="18" borderId="1" xfId="0" applyFont="1" applyFill="1" applyBorder="1" applyAlignment="1">
      <alignment horizontal="right" vertical="center"/>
    </xf>
    <xf numFmtId="0" fontId="38" fillId="19" borderId="1" xfId="0" applyFont="1" applyFill="1" applyBorder="1" applyAlignment="1">
      <alignment horizontal="right" vertical="center"/>
    </xf>
    <xf numFmtId="0" fontId="11" fillId="17" borderId="1" xfId="0" applyFont="1" applyFill="1" applyBorder="1" applyAlignment="1">
      <alignment horizontal="left" vertical="top" wrapText="1"/>
    </xf>
    <xf numFmtId="0" fontId="28" fillId="15" borderId="1" xfId="0" applyFont="1" applyFill="1" applyBorder="1" applyAlignment="1">
      <alignment horizontal="right" vertical="center"/>
    </xf>
    <xf numFmtId="0" fontId="43" fillId="2" borderId="1" xfId="0" applyFont="1" applyFill="1" applyBorder="1" applyAlignment="1">
      <alignment horizontal="right" vertical="center"/>
    </xf>
    <xf numFmtId="0" fontId="43" fillId="20" borderId="2" xfId="0" applyFont="1" applyFill="1" applyBorder="1" applyAlignment="1">
      <alignment horizontal="left" vertical="center"/>
    </xf>
    <xf numFmtId="0" fontId="43" fillId="2" borderId="2" xfId="0" applyFont="1" applyFill="1" applyBorder="1" applyAlignment="1">
      <alignment horizontal="left" vertical="center"/>
    </xf>
    <xf numFmtId="0" fontId="43" fillId="15" borderId="2" xfId="0" applyFont="1" applyFill="1" applyBorder="1" applyAlignment="1">
      <alignment horizontal="left" vertical="center"/>
    </xf>
    <xf numFmtId="0" fontId="43" fillId="23" borderId="2" xfId="0" applyFont="1" applyFill="1" applyBorder="1" applyAlignment="1">
      <alignment horizontal="left" vertical="center"/>
    </xf>
    <xf numFmtId="0" fontId="25" fillId="13" borderId="2" xfId="0" applyFont="1" applyFill="1" applyBorder="1" applyAlignment="1">
      <alignment horizontal="left" vertical="center" wrapText="1" indent="1"/>
    </xf>
    <xf numFmtId="0" fontId="29" fillId="2" borderId="0" xfId="0" applyFont="1" applyFill="1" applyAlignment="1">
      <alignment horizontal="center" vertical="center"/>
    </xf>
  </cellXfs>
  <cellStyles count="1">
    <cellStyle name="Standaard" xfId="0" builtinId="0"/>
  </cellStyles>
  <dxfs count="0"/>
  <tableStyles count="0" defaultTableStyle="TableStyleMedium2" defaultPivotStyle="PivotStyleLight16"/>
  <colors>
    <indexedColors>
      <rgbColor rgb="FF000000"/>
      <rgbColor rgb="FFFFFFFF"/>
      <rgbColor rgb="FFFF0000"/>
      <rgbColor rgb="FF00FF00"/>
      <rgbColor rgb="FF0000FF"/>
      <rgbColor rgb="FFF5F5F5"/>
      <rgbColor rgb="FFFF00FF"/>
      <rgbColor rgb="FF00FFFF"/>
      <rgbColor rgb="FF6B1414"/>
      <rgbColor rgb="FF008000"/>
      <rgbColor rgb="FF0C447C"/>
      <rgbColor rgb="FF444441"/>
      <rgbColor rgb="FF800080"/>
      <rgbColor rgb="FF1B4F8A"/>
      <rgbColor rgb="FFCCCCCC"/>
      <rgbColor rgb="FF888780"/>
      <rgbColor rgb="FF9999FF"/>
      <rgbColor rgb="FF72243E"/>
      <rgbColor rgb="FFFAEEDA"/>
      <rgbColor rgb="FFE1F5EE"/>
      <rgbColor rgb="FF633806"/>
      <rgbColor rgb="FFFF8080"/>
      <rgbColor rgb="FF2E5EAA"/>
      <rgbColor rgb="FFD6E4F7"/>
      <rgbColor rgb="FF000080"/>
      <rgbColor rgb="FFFF00FF"/>
      <rgbColor rgb="FFFAFAFA"/>
      <rgbColor rgb="FF00FFFF"/>
      <rgbColor rgb="FF800080"/>
      <rgbColor rgb="FF8B1A1A"/>
      <rgbColor rgb="FF1A5C2E"/>
      <rgbColor rgb="FF0000FF"/>
      <rgbColor rgb="FF00CCFF"/>
      <rgbColor rgb="FFE6F1FB"/>
      <rgbColor rgb="FFD4EDDA"/>
      <rgbColor rgb="FFEAF3DE"/>
      <rgbColor rgb="FFEEEDFE"/>
      <rgbColor rgb="FFFBEAF0"/>
      <rgbColor rgb="FFF1EFE8"/>
      <rgbColor rgb="FFFCEBEB"/>
      <rgbColor rgb="FF3366FF"/>
      <rgbColor rgb="FF33CCCC"/>
      <rgbColor rgb="FF99CC00"/>
      <rgbColor rgb="FFFFCC00"/>
      <rgbColor rgb="FFFF9900"/>
      <rgbColor rgb="FFFF6600"/>
      <rgbColor rgb="FF5F5E5A"/>
      <rgbColor rgb="FF969696"/>
      <rgbColor rgb="FF1B3A6B"/>
      <rgbColor rgb="FF085041"/>
      <rgbColor rgb="FF27500A"/>
      <rgbColor rgb="FF3D3D3A"/>
      <rgbColor rgb="FFB22222"/>
      <rgbColor rgb="FF791F1F"/>
      <rgbColor rgb="FF3C3489"/>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1"/>
  <sheetViews>
    <sheetView showGridLines="0" zoomScaleNormal="100" workbookViewId="0">
      <pane ySplit="3" topLeftCell="A4" activePane="bottomLeft" state="frozen"/>
      <selection pane="bottomLeft" sqref="A1:I1"/>
    </sheetView>
  </sheetViews>
  <sheetFormatPr defaultColWidth="8.7109375" defaultRowHeight="15" x14ac:dyDescent="0.25"/>
  <cols>
    <col min="1" max="1" width="5" customWidth="1"/>
    <col min="2" max="2" width="28" customWidth="1"/>
    <col min="3" max="3" width="26" customWidth="1"/>
    <col min="4" max="4" width="12" customWidth="1"/>
    <col min="5" max="5" width="22" customWidth="1"/>
    <col min="6" max="6" width="42" customWidth="1"/>
    <col min="7" max="7" width="38" customWidth="1"/>
    <col min="8" max="9" width="15" customWidth="1"/>
  </cols>
  <sheetData>
    <row r="1" spans="1:9" ht="33.75" customHeight="1" x14ac:dyDescent="0.25">
      <c r="A1" s="14" t="s">
        <v>0</v>
      </c>
      <c r="B1" s="14"/>
      <c r="C1" s="14"/>
      <c r="D1" s="14"/>
      <c r="E1" s="14"/>
      <c r="F1" s="14"/>
      <c r="G1" s="14"/>
      <c r="H1" s="14"/>
      <c r="I1" s="14"/>
    </row>
    <row r="2" spans="1:9" ht="18" customHeight="1" x14ac:dyDescent="0.25">
      <c r="A2" s="13" t="s">
        <v>1</v>
      </c>
      <c r="B2" s="13"/>
      <c r="C2" s="13"/>
      <c r="D2" s="13"/>
      <c r="E2" s="13"/>
      <c r="F2" s="13"/>
      <c r="G2" s="13"/>
      <c r="H2" s="13"/>
      <c r="I2" s="13"/>
    </row>
    <row r="3" spans="1:9" ht="36" customHeight="1" x14ac:dyDescent="0.25">
      <c r="A3" s="15" t="s">
        <v>2</v>
      </c>
      <c r="B3" s="15" t="s">
        <v>3</v>
      </c>
      <c r="C3" s="15" t="s">
        <v>4</v>
      </c>
      <c r="D3" s="15" t="s">
        <v>5</v>
      </c>
      <c r="E3" s="15" t="s">
        <v>6</v>
      </c>
      <c r="F3" s="16" t="s">
        <v>7</v>
      </c>
      <c r="G3" s="16" t="s">
        <v>8</v>
      </c>
      <c r="H3" s="15" t="s">
        <v>9</v>
      </c>
      <c r="I3" s="15" t="s">
        <v>10</v>
      </c>
    </row>
    <row r="4" spans="1:9" ht="18" customHeight="1" x14ac:dyDescent="0.25">
      <c r="A4" s="12" t="s">
        <v>11</v>
      </c>
      <c r="B4" s="12"/>
      <c r="C4" s="12"/>
      <c r="D4" s="12"/>
      <c r="E4" s="12"/>
      <c r="F4" s="12"/>
      <c r="G4" s="12"/>
      <c r="H4" s="12"/>
      <c r="I4" s="12"/>
    </row>
    <row r="5" spans="1:9" ht="72" customHeight="1" x14ac:dyDescent="0.25">
      <c r="A5" s="17">
        <v>1</v>
      </c>
      <c r="B5" s="18" t="s">
        <v>12</v>
      </c>
      <c r="C5" s="19" t="s">
        <v>13</v>
      </c>
      <c r="D5" s="20" t="s">
        <v>14</v>
      </c>
      <c r="E5" s="19" t="s">
        <v>15</v>
      </c>
      <c r="F5" s="21" t="s">
        <v>16</v>
      </c>
      <c r="G5" s="22" t="s">
        <v>17</v>
      </c>
      <c r="H5" s="23">
        <v>912</v>
      </c>
      <c r="I5" s="24">
        <f t="shared" ref="I5:I12" si="0">H5*12</f>
        <v>10944</v>
      </c>
    </row>
    <row r="6" spans="1:9" ht="72" customHeight="1" x14ac:dyDescent="0.25">
      <c r="A6" s="25">
        <v>2</v>
      </c>
      <c r="B6" s="26" t="s">
        <v>18</v>
      </c>
      <c r="C6" s="27" t="s">
        <v>19</v>
      </c>
      <c r="D6" s="20" t="s">
        <v>14</v>
      </c>
      <c r="E6" s="27" t="s">
        <v>20</v>
      </c>
      <c r="F6" s="28" t="s">
        <v>21</v>
      </c>
      <c r="G6" s="29" t="s">
        <v>22</v>
      </c>
      <c r="H6" s="30">
        <v>365</v>
      </c>
      <c r="I6" s="31">
        <f t="shared" si="0"/>
        <v>4380</v>
      </c>
    </row>
    <row r="7" spans="1:9" ht="72" customHeight="1" x14ac:dyDescent="0.25">
      <c r="A7" s="17">
        <v>3</v>
      </c>
      <c r="B7" s="18" t="s">
        <v>23</v>
      </c>
      <c r="C7" s="19" t="s">
        <v>24</v>
      </c>
      <c r="D7" s="20" t="s">
        <v>14</v>
      </c>
      <c r="E7" s="19" t="s">
        <v>15</v>
      </c>
      <c r="F7" s="21" t="s">
        <v>25</v>
      </c>
      <c r="G7" s="22" t="s">
        <v>26</v>
      </c>
      <c r="H7" s="23">
        <v>268</v>
      </c>
      <c r="I7" s="24">
        <f t="shared" si="0"/>
        <v>3216</v>
      </c>
    </row>
    <row r="8" spans="1:9" ht="72" customHeight="1" x14ac:dyDescent="0.25">
      <c r="A8" s="25">
        <v>4</v>
      </c>
      <c r="B8" s="26" t="s">
        <v>27</v>
      </c>
      <c r="C8" s="27" t="s">
        <v>28</v>
      </c>
      <c r="D8" s="20" t="s">
        <v>14</v>
      </c>
      <c r="E8" s="27" t="s">
        <v>15</v>
      </c>
      <c r="F8" s="28" t="s">
        <v>29</v>
      </c>
      <c r="G8" s="29" t="s">
        <v>30</v>
      </c>
      <c r="H8" s="30">
        <v>139</v>
      </c>
      <c r="I8" s="31">
        <f t="shared" si="0"/>
        <v>1668</v>
      </c>
    </row>
    <row r="9" spans="1:9" ht="72" customHeight="1" x14ac:dyDescent="0.25">
      <c r="A9" s="17">
        <v>5</v>
      </c>
      <c r="B9" s="18" t="s">
        <v>31</v>
      </c>
      <c r="C9" s="19" t="s">
        <v>32</v>
      </c>
      <c r="D9" s="20" t="s">
        <v>14</v>
      </c>
      <c r="E9" s="19" t="s">
        <v>33</v>
      </c>
      <c r="F9" s="21" t="s">
        <v>34</v>
      </c>
      <c r="G9" s="22" t="s">
        <v>35</v>
      </c>
      <c r="H9" s="23">
        <v>4</v>
      </c>
      <c r="I9" s="24">
        <f t="shared" si="0"/>
        <v>48</v>
      </c>
    </row>
    <row r="10" spans="1:9" ht="72" customHeight="1" x14ac:dyDescent="0.25">
      <c r="A10" s="25">
        <v>6</v>
      </c>
      <c r="B10" s="26" t="s">
        <v>36</v>
      </c>
      <c r="C10" s="27" t="s">
        <v>37</v>
      </c>
      <c r="D10" s="20" t="s">
        <v>14</v>
      </c>
      <c r="E10" s="27" t="s">
        <v>38</v>
      </c>
      <c r="F10" s="28" t="s">
        <v>39</v>
      </c>
      <c r="G10" s="29" t="s">
        <v>40</v>
      </c>
      <c r="H10" s="30">
        <v>43</v>
      </c>
      <c r="I10" s="31">
        <f t="shared" si="0"/>
        <v>516</v>
      </c>
    </row>
    <row r="11" spans="1:9" ht="72" customHeight="1" x14ac:dyDescent="0.25">
      <c r="A11" s="17">
        <v>7</v>
      </c>
      <c r="B11" s="18" t="s">
        <v>41</v>
      </c>
      <c r="C11" s="19" t="s">
        <v>42</v>
      </c>
      <c r="D11" s="20" t="s">
        <v>14</v>
      </c>
      <c r="E11" s="19" t="s">
        <v>15</v>
      </c>
      <c r="F11" s="21" t="s">
        <v>43</v>
      </c>
      <c r="G11" s="22" t="s">
        <v>44</v>
      </c>
      <c r="H11" s="23">
        <v>3</v>
      </c>
      <c r="I11" s="24">
        <f t="shared" si="0"/>
        <v>36</v>
      </c>
    </row>
    <row r="12" spans="1:9" ht="18" customHeight="1" x14ac:dyDescent="0.25">
      <c r="A12" s="11" t="s">
        <v>45</v>
      </c>
      <c r="B12" s="11"/>
      <c r="C12" s="11"/>
      <c r="D12" s="11"/>
      <c r="E12" s="11"/>
      <c r="F12" s="11"/>
      <c r="G12" s="11"/>
      <c r="H12" s="32">
        <f>SUM(H5:H11)</f>
        <v>1734</v>
      </c>
      <c r="I12" s="32">
        <f t="shared" si="0"/>
        <v>20808</v>
      </c>
    </row>
    <row r="14" spans="1:9" ht="18" customHeight="1" x14ac:dyDescent="0.25">
      <c r="A14" s="12" t="s">
        <v>46</v>
      </c>
      <c r="B14" s="12"/>
      <c r="C14" s="12"/>
      <c r="D14" s="12"/>
      <c r="E14" s="12"/>
      <c r="F14" s="12"/>
      <c r="G14" s="12"/>
      <c r="H14" s="12"/>
      <c r="I14" s="12"/>
    </row>
    <row r="15" spans="1:9" ht="72" customHeight="1" x14ac:dyDescent="0.25">
      <c r="A15" s="17">
        <v>1</v>
      </c>
      <c r="B15" s="18" t="s">
        <v>47</v>
      </c>
      <c r="C15" s="19" t="s">
        <v>48</v>
      </c>
      <c r="D15" s="33" t="s">
        <v>49</v>
      </c>
      <c r="E15" s="19" t="s">
        <v>50</v>
      </c>
      <c r="F15" s="21" t="s">
        <v>51</v>
      </c>
      <c r="G15" s="22" t="s">
        <v>52</v>
      </c>
      <c r="H15" s="23">
        <v>617</v>
      </c>
      <c r="I15" s="24">
        <f t="shared" ref="I15:I20" si="1">H15*12</f>
        <v>7404</v>
      </c>
    </row>
    <row r="16" spans="1:9" ht="72" customHeight="1" x14ac:dyDescent="0.25">
      <c r="A16" s="25">
        <v>2</v>
      </c>
      <c r="B16" s="26" t="s">
        <v>53</v>
      </c>
      <c r="C16" s="27" t="s">
        <v>54</v>
      </c>
      <c r="D16" s="33" t="s">
        <v>49</v>
      </c>
      <c r="E16" s="27" t="s">
        <v>50</v>
      </c>
      <c r="F16" s="28" t="s">
        <v>55</v>
      </c>
      <c r="G16" s="29" t="s">
        <v>56</v>
      </c>
      <c r="H16" s="30">
        <v>617</v>
      </c>
      <c r="I16" s="31">
        <f t="shared" si="1"/>
        <v>7404</v>
      </c>
    </row>
    <row r="17" spans="1:9" ht="72" customHeight="1" x14ac:dyDescent="0.25">
      <c r="A17" s="17">
        <v>3</v>
      </c>
      <c r="B17" s="18" t="s">
        <v>57</v>
      </c>
      <c r="C17" s="19" t="s">
        <v>58</v>
      </c>
      <c r="D17" s="33" t="s">
        <v>49</v>
      </c>
      <c r="E17" s="19" t="s">
        <v>59</v>
      </c>
      <c r="F17" s="21" t="s">
        <v>60</v>
      </c>
      <c r="G17" s="22" t="s">
        <v>61</v>
      </c>
      <c r="H17" s="23">
        <v>2</v>
      </c>
      <c r="I17" s="24">
        <f t="shared" si="1"/>
        <v>24</v>
      </c>
    </row>
    <row r="18" spans="1:9" ht="72" customHeight="1" x14ac:dyDescent="0.25">
      <c r="A18" s="25">
        <v>4</v>
      </c>
      <c r="B18" s="26" t="s">
        <v>62</v>
      </c>
      <c r="C18" s="27" t="s">
        <v>63</v>
      </c>
      <c r="D18" s="33" t="s">
        <v>49</v>
      </c>
      <c r="E18" s="27" t="s">
        <v>64</v>
      </c>
      <c r="F18" s="28" t="s">
        <v>65</v>
      </c>
      <c r="G18" s="29" t="s">
        <v>66</v>
      </c>
      <c r="H18" s="30">
        <v>70</v>
      </c>
      <c r="I18" s="31">
        <f t="shared" si="1"/>
        <v>840</v>
      </c>
    </row>
    <row r="19" spans="1:9" ht="72" customHeight="1" x14ac:dyDescent="0.25">
      <c r="A19" s="17">
        <v>5</v>
      </c>
      <c r="B19" s="18" t="s">
        <v>67</v>
      </c>
      <c r="C19" s="19" t="s">
        <v>63</v>
      </c>
      <c r="D19" s="33" t="s">
        <v>49</v>
      </c>
      <c r="E19" s="19" t="s">
        <v>64</v>
      </c>
      <c r="F19" s="21" t="s">
        <v>68</v>
      </c>
      <c r="G19" s="22" t="s">
        <v>69</v>
      </c>
      <c r="H19" s="23">
        <v>70</v>
      </c>
      <c r="I19" s="24">
        <f t="shared" si="1"/>
        <v>840</v>
      </c>
    </row>
    <row r="20" spans="1:9" ht="18" customHeight="1" x14ac:dyDescent="0.25">
      <c r="A20" s="10" t="s">
        <v>70</v>
      </c>
      <c r="B20" s="10"/>
      <c r="C20" s="10"/>
      <c r="D20" s="10"/>
      <c r="E20" s="10"/>
      <c r="F20" s="10"/>
      <c r="G20" s="10"/>
      <c r="H20" s="34">
        <f>SUM(H15:H19)</f>
        <v>1376</v>
      </c>
      <c r="I20" s="34">
        <f t="shared" si="1"/>
        <v>16512</v>
      </c>
    </row>
    <row r="22" spans="1:9" ht="18" customHeight="1" x14ac:dyDescent="0.25">
      <c r="A22" s="12" t="s">
        <v>71</v>
      </c>
      <c r="B22" s="12"/>
      <c r="C22" s="12"/>
      <c r="D22" s="12"/>
      <c r="E22" s="12"/>
      <c r="F22" s="12"/>
      <c r="G22" s="12"/>
      <c r="H22" s="12"/>
      <c r="I22" s="12"/>
    </row>
    <row r="23" spans="1:9" ht="72" customHeight="1" x14ac:dyDescent="0.25">
      <c r="A23" s="17">
        <v>1</v>
      </c>
      <c r="B23" s="18" t="s">
        <v>72</v>
      </c>
      <c r="C23" s="19" t="s">
        <v>73</v>
      </c>
      <c r="D23" s="35" t="s">
        <v>74</v>
      </c>
      <c r="E23" s="19" t="s">
        <v>75</v>
      </c>
      <c r="F23" s="21" t="s">
        <v>76</v>
      </c>
      <c r="G23" s="22" t="s">
        <v>77</v>
      </c>
      <c r="H23" s="23">
        <v>1456</v>
      </c>
      <c r="I23" s="24">
        <f>H23*12</f>
        <v>17472</v>
      </c>
    </row>
    <row r="24" spans="1:9" ht="72" customHeight="1" x14ac:dyDescent="0.25">
      <c r="A24" s="25">
        <v>2</v>
      </c>
      <c r="B24" s="26" t="s">
        <v>78</v>
      </c>
      <c r="C24" s="27" t="s">
        <v>79</v>
      </c>
      <c r="D24" s="35" t="s">
        <v>74</v>
      </c>
      <c r="E24" s="27" t="s">
        <v>80</v>
      </c>
      <c r="F24" s="28" t="s">
        <v>81</v>
      </c>
      <c r="G24" s="29" t="s">
        <v>82</v>
      </c>
      <c r="H24" s="30">
        <v>1456</v>
      </c>
      <c r="I24" s="31">
        <f>H24*12</f>
        <v>17472</v>
      </c>
    </row>
    <row r="25" spans="1:9" ht="18" customHeight="1" x14ac:dyDescent="0.25">
      <c r="A25" s="9" t="s">
        <v>83</v>
      </c>
      <c r="B25" s="9"/>
      <c r="C25" s="9"/>
      <c r="D25" s="9"/>
      <c r="E25" s="9"/>
      <c r="F25" s="9"/>
      <c r="G25" s="9"/>
      <c r="H25" s="36">
        <f>SUM(H23:H24)</f>
        <v>2912</v>
      </c>
      <c r="I25" s="36">
        <f>H25*12</f>
        <v>34944</v>
      </c>
    </row>
    <row r="27" spans="1:9" ht="18" customHeight="1" x14ac:dyDescent="0.25">
      <c r="A27" s="12" t="s">
        <v>84</v>
      </c>
      <c r="B27" s="12"/>
      <c r="C27" s="12"/>
      <c r="D27" s="12"/>
      <c r="E27" s="12"/>
      <c r="F27" s="12"/>
      <c r="G27" s="12"/>
      <c r="H27" s="12"/>
      <c r="I27" s="12"/>
    </row>
    <row r="28" spans="1:9" ht="72" customHeight="1" x14ac:dyDescent="0.25">
      <c r="A28" s="17">
        <v>1</v>
      </c>
      <c r="B28" s="18" t="s">
        <v>85</v>
      </c>
      <c r="C28" s="19" t="s">
        <v>86</v>
      </c>
      <c r="D28" s="37" t="s">
        <v>87</v>
      </c>
      <c r="E28" s="19" t="s">
        <v>88</v>
      </c>
      <c r="F28" s="21" t="s">
        <v>89</v>
      </c>
      <c r="G28" s="22" t="s">
        <v>90</v>
      </c>
      <c r="H28" s="23">
        <v>48</v>
      </c>
      <c r="I28" s="24">
        <f>H28*12</f>
        <v>576</v>
      </c>
    </row>
    <row r="29" spans="1:9" ht="72" customHeight="1" x14ac:dyDescent="0.25">
      <c r="A29" s="25">
        <v>2</v>
      </c>
      <c r="B29" s="26" t="s">
        <v>91</v>
      </c>
      <c r="C29" s="27" t="s">
        <v>92</v>
      </c>
      <c r="D29" s="37" t="s">
        <v>87</v>
      </c>
      <c r="E29" s="27" t="s">
        <v>93</v>
      </c>
      <c r="F29" s="28" t="s">
        <v>94</v>
      </c>
      <c r="G29" s="29" t="s">
        <v>95</v>
      </c>
      <c r="H29" s="30">
        <v>40</v>
      </c>
      <c r="I29" s="31">
        <f>H29*12</f>
        <v>480</v>
      </c>
    </row>
    <row r="30" spans="1:9" ht="72" customHeight="1" x14ac:dyDescent="0.25">
      <c r="A30" s="17">
        <v>3</v>
      </c>
      <c r="B30" s="18" t="s">
        <v>96</v>
      </c>
      <c r="C30" s="19" t="s">
        <v>97</v>
      </c>
      <c r="D30" s="37" t="s">
        <v>87</v>
      </c>
      <c r="E30" s="19" t="s">
        <v>93</v>
      </c>
      <c r="F30" s="21" t="s">
        <v>98</v>
      </c>
      <c r="G30" s="22" t="s">
        <v>99</v>
      </c>
      <c r="H30" s="23">
        <v>30</v>
      </c>
      <c r="I30" s="24">
        <f>H30*12</f>
        <v>360</v>
      </c>
    </row>
    <row r="31" spans="1:9" ht="18" customHeight="1" x14ac:dyDescent="0.25">
      <c r="A31" s="8" t="s">
        <v>100</v>
      </c>
      <c r="B31" s="8"/>
      <c r="C31" s="8"/>
      <c r="D31" s="8"/>
      <c r="E31" s="8"/>
      <c r="F31" s="8"/>
      <c r="G31" s="8"/>
      <c r="H31" s="38">
        <f>SUM(H28:H30)</f>
        <v>118</v>
      </c>
      <c r="I31" s="38">
        <f>H31*12</f>
        <v>1416</v>
      </c>
    </row>
    <row r="33" spans="1:9" ht="18" customHeight="1" x14ac:dyDescent="0.25">
      <c r="A33" s="12" t="s">
        <v>101</v>
      </c>
      <c r="B33" s="12"/>
      <c r="C33" s="12"/>
      <c r="D33" s="12"/>
      <c r="E33" s="12"/>
      <c r="F33" s="12"/>
      <c r="G33" s="12"/>
      <c r="H33" s="12"/>
      <c r="I33" s="12"/>
    </row>
    <row r="34" spans="1:9" ht="72" customHeight="1" x14ac:dyDescent="0.25">
      <c r="A34" s="17">
        <v>1</v>
      </c>
      <c r="B34" s="18" t="s">
        <v>102</v>
      </c>
      <c r="C34" s="19" t="s">
        <v>103</v>
      </c>
      <c r="D34" s="39" t="s">
        <v>104</v>
      </c>
      <c r="E34" s="19" t="s">
        <v>105</v>
      </c>
      <c r="F34" s="21" t="s">
        <v>106</v>
      </c>
      <c r="G34" s="22" t="s">
        <v>107</v>
      </c>
      <c r="H34" s="23">
        <v>2700</v>
      </c>
      <c r="I34" s="24">
        <f>H34*12</f>
        <v>32400</v>
      </c>
    </row>
    <row r="35" spans="1:9" ht="72" customHeight="1" x14ac:dyDescent="0.25">
      <c r="A35" s="25">
        <v>2</v>
      </c>
      <c r="B35" s="26" t="s">
        <v>108</v>
      </c>
      <c r="C35" s="27" t="s">
        <v>109</v>
      </c>
      <c r="D35" s="39" t="s">
        <v>104</v>
      </c>
      <c r="E35" s="27" t="s">
        <v>110</v>
      </c>
      <c r="F35" s="28" t="s">
        <v>111</v>
      </c>
      <c r="G35" s="29" t="s">
        <v>112</v>
      </c>
      <c r="H35" s="40">
        <v>0</v>
      </c>
      <c r="I35" s="31">
        <f>H35*12</f>
        <v>0</v>
      </c>
    </row>
    <row r="36" spans="1:9" ht="18" customHeight="1" x14ac:dyDescent="0.25">
      <c r="A36" s="7" t="s">
        <v>113</v>
      </c>
      <c r="B36" s="7"/>
      <c r="C36" s="7"/>
      <c r="D36" s="7"/>
      <c r="E36" s="7"/>
      <c r="F36" s="7"/>
      <c r="G36" s="7"/>
      <c r="H36" s="41">
        <f>SUM(H34:H35)</f>
        <v>2700</v>
      </c>
      <c r="I36" s="41">
        <f>H36*12</f>
        <v>32400</v>
      </c>
    </row>
    <row r="38" spans="1:9" ht="18" customHeight="1" x14ac:dyDescent="0.25">
      <c r="A38" s="12" t="s">
        <v>114</v>
      </c>
      <c r="B38" s="12"/>
      <c r="C38" s="12"/>
      <c r="D38" s="12"/>
      <c r="E38" s="12"/>
      <c r="F38" s="12"/>
      <c r="G38" s="12"/>
      <c r="H38" s="12"/>
      <c r="I38" s="12"/>
    </row>
    <row r="39" spans="1:9" ht="72" customHeight="1" x14ac:dyDescent="0.25">
      <c r="A39" s="17">
        <v>1</v>
      </c>
      <c r="B39" s="18" t="s">
        <v>115</v>
      </c>
      <c r="C39" s="19" t="s">
        <v>116</v>
      </c>
      <c r="D39" s="42" t="s">
        <v>117</v>
      </c>
      <c r="E39" s="19" t="s">
        <v>118</v>
      </c>
      <c r="F39" s="21" t="s">
        <v>119</v>
      </c>
      <c r="G39" s="22" t="s">
        <v>120</v>
      </c>
      <c r="H39" s="23">
        <v>1</v>
      </c>
      <c r="I39" s="24">
        <f t="shared" ref="I39:I45" si="2">H39*12</f>
        <v>12</v>
      </c>
    </row>
    <row r="40" spans="1:9" ht="72" customHeight="1" x14ac:dyDescent="0.25">
      <c r="A40" s="25">
        <v>2</v>
      </c>
      <c r="B40" s="26" t="s">
        <v>121</v>
      </c>
      <c r="C40" s="27" t="s">
        <v>122</v>
      </c>
      <c r="D40" s="42" t="s">
        <v>117</v>
      </c>
      <c r="E40" s="27" t="s">
        <v>123</v>
      </c>
      <c r="F40" s="28" t="s">
        <v>124</v>
      </c>
      <c r="G40" s="29" t="s">
        <v>125</v>
      </c>
      <c r="H40" s="30">
        <v>4</v>
      </c>
      <c r="I40" s="31">
        <f t="shared" si="2"/>
        <v>48</v>
      </c>
    </row>
    <row r="41" spans="1:9" ht="72" customHeight="1" x14ac:dyDescent="0.25">
      <c r="A41" s="17">
        <v>3</v>
      </c>
      <c r="B41" s="18" t="s">
        <v>126</v>
      </c>
      <c r="C41" s="19" t="s">
        <v>127</v>
      </c>
      <c r="D41" s="42" t="s">
        <v>117</v>
      </c>
      <c r="E41" s="19" t="s">
        <v>33</v>
      </c>
      <c r="F41" s="21" t="s">
        <v>128</v>
      </c>
      <c r="G41" s="22" t="s">
        <v>129</v>
      </c>
      <c r="H41" s="43">
        <v>0</v>
      </c>
      <c r="I41" s="24">
        <f t="shared" si="2"/>
        <v>0</v>
      </c>
    </row>
    <row r="42" spans="1:9" ht="72" customHeight="1" x14ac:dyDescent="0.25">
      <c r="A42" s="25">
        <v>4</v>
      </c>
      <c r="B42" s="26" t="s">
        <v>130</v>
      </c>
      <c r="C42" s="27" t="s">
        <v>131</v>
      </c>
      <c r="D42" s="42" t="s">
        <v>117</v>
      </c>
      <c r="E42" s="27" t="s">
        <v>88</v>
      </c>
      <c r="F42" s="28" t="s">
        <v>132</v>
      </c>
      <c r="G42" s="29" t="s">
        <v>133</v>
      </c>
      <c r="H42" s="30">
        <v>55</v>
      </c>
      <c r="I42" s="31">
        <f t="shared" si="2"/>
        <v>660</v>
      </c>
    </row>
    <row r="43" spans="1:9" ht="72" customHeight="1" x14ac:dyDescent="0.25">
      <c r="A43" s="17">
        <v>5</v>
      </c>
      <c r="B43" s="18" t="s">
        <v>134</v>
      </c>
      <c r="C43" s="19" t="s">
        <v>135</v>
      </c>
      <c r="D43" s="42" t="s">
        <v>117</v>
      </c>
      <c r="E43" s="19" t="s">
        <v>136</v>
      </c>
      <c r="F43" s="21" t="s">
        <v>137</v>
      </c>
      <c r="G43" s="22" t="s">
        <v>138</v>
      </c>
      <c r="H43" s="43">
        <v>0</v>
      </c>
      <c r="I43" s="24">
        <f t="shared" si="2"/>
        <v>0</v>
      </c>
    </row>
    <row r="44" spans="1:9" ht="72" customHeight="1" x14ac:dyDescent="0.25">
      <c r="A44" s="25">
        <v>6</v>
      </c>
      <c r="B44" s="26" t="s">
        <v>139</v>
      </c>
      <c r="C44" s="27" t="s">
        <v>140</v>
      </c>
      <c r="D44" s="42" t="s">
        <v>117</v>
      </c>
      <c r="E44" s="27" t="s">
        <v>136</v>
      </c>
      <c r="F44" s="28" t="s">
        <v>141</v>
      </c>
      <c r="G44" s="29" t="s">
        <v>142</v>
      </c>
      <c r="H44" s="40">
        <v>0</v>
      </c>
      <c r="I44" s="31">
        <f t="shared" si="2"/>
        <v>0</v>
      </c>
    </row>
    <row r="45" spans="1:9" ht="18" customHeight="1" x14ac:dyDescent="0.25">
      <c r="A45" s="6" t="s">
        <v>143</v>
      </c>
      <c r="B45" s="6"/>
      <c r="C45" s="6"/>
      <c r="D45" s="6"/>
      <c r="E45" s="6"/>
      <c r="F45" s="6"/>
      <c r="G45" s="6"/>
      <c r="H45" s="44">
        <f>SUM(H39:H44)</f>
        <v>60</v>
      </c>
      <c r="I45" s="44">
        <f t="shared" si="2"/>
        <v>720</v>
      </c>
    </row>
    <row r="47" spans="1:9" ht="18" customHeight="1" x14ac:dyDescent="0.25">
      <c r="A47" s="12" t="s">
        <v>144</v>
      </c>
      <c r="B47" s="12"/>
      <c r="C47" s="12"/>
      <c r="D47" s="12"/>
      <c r="E47" s="12"/>
      <c r="F47" s="12"/>
      <c r="G47" s="12"/>
      <c r="H47" s="12"/>
      <c r="I47" s="12"/>
    </row>
    <row r="48" spans="1:9" ht="72" customHeight="1" x14ac:dyDescent="0.25">
      <c r="A48" s="17">
        <v>1</v>
      </c>
      <c r="B48" s="18" t="s">
        <v>145</v>
      </c>
      <c r="C48" s="19" t="s">
        <v>146</v>
      </c>
      <c r="D48" s="45" t="s">
        <v>147</v>
      </c>
      <c r="E48" s="19" t="s">
        <v>88</v>
      </c>
      <c r="F48" s="21" t="s">
        <v>148</v>
      </c>
      <c r="G48" s="22" t="s">
        <v>149</v>
      </c>
      <c r="H48" s="23">
        <v>552</v>
      </c>
      <c r="I48" s="24">
        <f>H48*12</f>
        <v>6624</v>
      </c>
    </row>
    <row r="49" spans="1:9" ht="72" customHeight="1" x14ac:dyDescent="0.25">
      <c r="A49" s="25">
        <v>2</v>
      </c>
      <c r="B49" s="26" t="s">
        <v>150</v>
      </c>
      <c r="C49" s="27" t="s">
        <v>151</v>
      </c>
      <c r="D49" s="45" t="s">
        <v>147</v>
      </c>
      <c r="E49" s="27" t="s">
        <v>33</v>
      </c>
      <c r="F49" s="28" t="s">
        <v>152</v>
      </c>
      <c r="G49" s="29" t="s">
        <v>153</v>
      </c>
      <c r="H49" s="30">
        <v>12</v>
      </c>
      <c r="I49" s="31">
        <f>H49*12</f>
        <v>144</v>
      </c>
    </row>
    <row r="50" spans="1:9" ht="72" customHeight="1" x14ac:dyDescent="0.25">
      <c r="A50" s="17">
        <v>3</v>
      </c>
      <c r="B50" s="18" t="s">
        <v>154</v>
      </c>
      <c r="C50" s="19" t="s">
        <v>155</v>
      </c>
      <c r="D50" s="45" t="s">
        <v>147</v>
      </c>
      <c r="E50" s="19" t="s">
        <v>88</v>
      </c>
      <c r="F50" s="21" t="s">
        <v>156</v>
      </c>
      <c r="G50" s="22" t="s">
        <v>157</v>
      </c>
      <c r="H50" s="23">
        <v>10</v>
      </c>
      <c r="I50" s="24">
        <f>H50*12</f>
        <v>120</v>
      </c>
    </row>
    <row r="51" spans="1:9" ht="72" customHeight="1" x14ac:dyDescent="0.25">
      <c r="A51" s="25">
        <v>4</v>
      </c>
      <c r="B51" s="26" t="s">
        <v>158</v>
      </c>
      <c r="C51" s="27" t="s">
        <v>159</v>
      </c>
      <c r="D51" s="45" t="s">
        <v>147</v>
      </c>
      <c r="E51" s="27" t="s">
        <v>88</v>
      </c>
      <c r="F51" s="28" t="s">
        <v>160</v>
      </c>
      <c r="G51" s="29" t="s">
        <v>161</v>
      </c>
      <c r="H51" s="30">
        <v>1</v>
      </c>
      <c r="I51" s="31">
        <f>H51*12</f>
        <v>12</v>
      </c>
    </row>
    <row r="52" spans="1:9" ht="18" customHeight="1" x14ac:dyDescent="0.25">
      <c r="A52" s="5" t="s">
        <v>162</v>
      </c>
      <c r="B52" s="5"/>
      <c r="C52" s="5"/>
      <c r="D52" s="5"/>
      <c r="E52" s="5"/>
      <c r="F52" s="5"/>
      <c r="G52" s="5"/>
      <c r="H52" s="46">
        <f>SUM(H48:H51)</f>
        <v>575</v>
      </c>
      <c r="I52" s="46">
        <f>H52*12</f>
        <v>6900</v>
      </c>
    </row>
    <row r="54" spans="1:9" ht="18" customHeight="1" x14ac:dyDescent="0.25">
      <c r="A54" s="12" t="s">
        <v>163</v>
      </c>
      <c r="B54" s="12"/>
      <c r="C54" s="12"/>
      <c r="D54" s="12"/>
      <c r="E54" s="12"/>
      <c r="F54" s="12"/>
      <c r="G54" s="12"/>
      <c r="H54" s="12"/>
      <c r="I54" s="12"/>
    </row>
    <row r="55" spans="1:9" ht="72" customHeight="1" x14ac:dyDescent="0.25">
      <c r="A55" s="17">
        <v>1</v>
      </c>
      <c r="B55" s="18" t="s">
        <v>164</v>
      </c>
      <c r="C55" s="19" t="s">
        <v>165</v>
      </c>
      <c r="D55" s="47" t="s">
        <v>166</v>
      </c>
      <c r="E55" s="19" t="s">
        <v>93</v>
      </c>
      <c r="F55" s="21" t="s">
        <v>167</v>
      </c>
      <c r="G55" s="22" t="s">
        <v>168</v>
      </c>
      <c r="H55" s="23">
        <v>8</v>
      </c>
      <c r="I55" s="24">
        <f>H55*12</f>
        <v>96</v>
      </c>
    </row>
    <row r="56" spans="1:9" ht="72" customHeight="1" x14ac:dyDescent="0.25">
      <c r="A56" s="25">
        <v>2</v>
      </c>
      <c r="B56" s="26" t="s">
        <v>169</v>
      </c>
      <c r="C56" s="27" t="s">
        <v>170</v>
      </c>
      <c r="D56" s="47" t="s">
        <v>166</v>
      </c>
      <c r="E56" s="27" t="s">
        <v>171</v>
      </c>
      <c r="F56" s="28" t="s">
        <v>172</v>
      </c>
      <c r="G56" s="29" t="s">
        <v>173</v>
      </c>
      <c r="H56" s="30">
        <v>1</v>
      </c>
      <c r="I56" s="31">
        <f>H56*12</f>
        <v>12</v>
      </c>
    </row>
    <row r="57" spans="1:9" ht="18" customHeight="1" x14ac:dyDescent="0.25">
      <c r="A57" s="4" t="s">
        <v>174</v>
      </c>
      <c r="B57" s="4"/>
      <c r="C57" s="4"/>
      <c r="D57" s="4"/>
      <c r="E57" s="4"/>
      <c r="F57" s="4"/>
      <c r="G57" s="4"/>
      <c r="H57" s="48">
        <f>SUM(H55:H56)</f>
        <v>9</v>
      </c>
      <c r="I57" s="48">
        <f>H57*12</f>
        <v>108</v>
      </c>
    </row>
    <row r="59" spans="1:9" ht="27.75" customHeight="1" x14ac:dyDescent="0.25">
      <c r="A59" s="3" t="s">
        <v>175</v>
      </c>
      <c r="B59" s="3"/>
      <c r="C59" s="3"/>
      <c r="D59" s="3"/>
      <c r="E59" s="3"/>
      <c r="F59" s="3"/>
      <c r="G59" s="3"/>
      <c r="H59" s="49">
        <f>SUM(H5,H6,H7,H8,H9,H10,H11,H15,H16,H17,H18,H19,H23,H24,H28,H29,H30,H34,H35,H39,H40,H41,H42,H43,H44,H48,H49,H50,H51,H55,H56)</f>
        <v>9484</v>
      </c>
      <c r="I59" s="49">
        <f>H59*12</f>
        <v>113808</v>
      </c>
    </row>
    <row r="60" spans="1:9" ht="21.75" customHeight="1" x14ac:dyDescent="0.25">
      <c r="A60" s="5" t="s">
        <v>176</v>
      </c>
      <c r="B60" s="5"/>
      <c r="C60" s="5"/>
      <c r="D60" s="5"/>
      <c r="E60" s="5"/>
      <c r="F60" s="5"/>
      <c r="G60" s="5"/>
      <c r="H60" s="46">
        <f>-(H59*0.08)</f>
        <v>-758.72</v>
      </c>
      <c r="I60" s="46">
        <f>H60*12</f>
        <v>-9104.64</v>
      </c>
    </row>
    <row r="61" spans="1:9" ht="27.75" customHeight="1" x14ac:dyDescent="0.25">
      <c r="A61" s="2" t="s">
        <v>177</v>
      </c>
      <c r="B61" s="2"/>
      <c r="C61" s="2"/>
      <c r="D61" s="2"/>
      <c r="E61" s="2"/>
      <c r="F61" s="2"/>
      <c r="G61" s="2"/>
      <c r="H61" s="50">
        <f>H59+H60</f>
        <v>8725.2800000000007</v>
      </c>
      <c r="I61" s="50">
        <f>H61*12</f>
        <v>104703.36000000002</v>
      </c>
    </row>
  </sheetData>
  <mergeCells count="21">
    <mergeCell ref="A61:G61"/>
    <mergeCell ref="A52:G52"/>
    <mergeCell ref="A54:I54"/>
    <mergeCell ref="A57:G57"/>
    <mergeCell ref="A59:G59"/>
    <mergeCell ref="A60:G60"/>
    <mergeCell ref="A33:I33"/>
    <mergeCell ref="A36:G36"/>
    <mergeCell ref="A38:I38"/>
    <mergeCell ref="A45:G45"/>
    <mergeCell ref="A47:I47"/>
    <mergeCell ref="A20:G20"/>
    <mergeCell ref="A22:I22"/>
    <mergeCell ref="A25:G25"/>
    <mergeCell ref="A27:I27"/>
    <mergeCell ref="A31:G31"/>
    <mergeCell ref="A1:I1"/>
    <mergeCell ref="A2:I2"/>
    <mergeCell ref="A4:I4"/>
    <mergeCell ref="A12:G12"/>
    <mergeCell ref="A14:I1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showGridLines="0" zoomScaleNormal="100" workbookViewId="0">
      <pane ySplit="3" topLeftCell="A4" activePane="bottomLeft" state="frozen"/>
      <selection pane="bottomLeft" sqref="A1:G1"/>
    </sheetView>
  </sheetViews>
  <sheetFormatPr defaultColWidth="8.7109375" defaultRowHeight="15" x14ac:dyDescent="0.25"/>
  <cols>
    <col min="1" max="1" width="20" customWidth="1"/>
    <col min="2" max="2" width="18" customWidth="1"/>
    <col min="3" max="3" width="24" customWidth="1"/>
    <col min="4" max="4" width="40" customWidth="1"/>
    <col min="5" max="5" width="32" customWidth="1"/>
    <col min="6" max="6" width="22" customWidth="1"/>
    <col min="7" max="7" width="28" customWidth="1"/>
  </cols>
  <sheetData>
    <row r="1" spans="1:7" ht="33.75" customHeight="1" x14ac:dyDescent="0.25">
      <c r="A1" s="1" t="s">
        <v>178</v>
      </c>
      <c r="B1" s="1"/>
      <c r="C1" s="1"/>
      <c r="D1" s="1"/>
      <c r="E1" s="1"/>
      <c r="F1" s="1"/>
      <c r="G1" s="1"/>
    </row>
    <row r="2" spans="1:7" ht="18" customHeight="1" x14ac:dyDescent="0.25">
      <c r="A2" s="135" t="s">
        <v>179</v>
      </c>
      <c r="B2" s="135"/>
      <c r="C2" s="135"/>
      <c r="D2" s="135"/>
      <c r="E2" s="135"/>
      <c r="F2" s="135"/>
      <c r="G2" s="135"/>
    </row>
    <row r="3" spans="1:7" ht="31.5" customHeight="1" x14ac:dyDescent="0.25">
      <c r="A3" s="15" t="s">
        <v>180</v>
      </c>
      <c r="B3" s="15" t="s">
        <v>181</v>
      </c>
      <c r="C3" s="15" t="s">
        <v>182</v>
      </c>
      <c r="D3" s="15" t="s">
        <v>183</v>
      </c>
      <c r="E3" s="15" t="s">
        <v>184</v>
      </c>
      <c r="F3" s="15" t="s">
        <v>185</v>
      </c>
      <c r="G3" s="15" t="s">
        <v>186</v>
      </c>
    </row>
    <row r="4" spans="1:7" ht="18" customHeight="1" x14ac:dyDescent="0.25">
      <c r="A4" s="136" t="s">
        <v>187</v>
      </c>
      <c r="B4" s="136"/>
      <c r="C4" s="136"/>
      <c r="D4" s="136"/>
      <c r="E4" s="136"/>
      <c r="F4" s="136"/>
      <c r="G4" s="136"/>
    </row>
    <row r="5" spans="1:7" ht="79.5" customHeight="1" x14ac:dyDescent="0.25">
      <c r="A5" s="18" t="s">
        <v>188</v>
      </c>
      <c r="B5" s="51" t="s">
        <v>189</v>
      </c>
      <c r="C5" s="52" t="s">
        <v>190</v>
      </c>
      <c r="D5" s="51" t="s">
        <v>191</v>
      </c>
      <c r="E5" s="52" t="s">
        <v>192</v>
      </c>
      <c r="F5" s="52" t="s">
        <v>193</v>
      </c>
      <c r="G5" s="52" t="s">
        <v>194</v>
      </c>
    </row>
    <row r="6" spans="1:7" ht="79.5" customHeight="1" x14ac:dyDescent="0.25">
      <c r="A6" s="53" t="s">
        <v>195</v>
      </c>
      <c r="B6" s="54" t="s">
        <v>189</v>
      </c>
      <c r="C6" s="55" t="s">
        <v>196</v>
      </c>
      <c r="D6" s="54" t="s">
        <v>197</v>
      </c>
      <c r="E6" s="55" t="s">
        <v>198</v>
      </c>
      <c r="F6" s="55" t="s">
        <v>199</v>
      </c>
      <c r="G6" s="55" t="s">
        <v>200</v>
      </c>
    </row>
    <row r="7" spans="1:7" ht="79.5" customHeight="1" x14ac:dyDescent="0.25">
      <c r="A7" s="18" t="s">
        <v>201</v>
      </c>
      <c r="B7" s="51" t="s">
        <v>202</v>
      </c>
      <c r="C7" s="52" t="s">
        <v>203</v>
      </c>
      <c r="D7" s="51" t="s">
        <v>204</v>
      </c>
      <c r="E7" s="52" t="s">
        <v>205</v>
      </c>
      <c r="F7" s="52" t="s">
        <v>206</v>
      </c>
      <c r="G7" s="52" t="s">
        <v>207</v>
      </c>
    </row>
    <row r="8" spans="1:7" ht="79.5" customHeight="1" x14ac:dyDescent="0.25">
      <c r="A8" s="53" t="s">
        <v>208</v>
      </c>
      <c r="B8" s="54" t="s">
        <v>209</v>
      </c>
      <c r="C8" s="55" t="s">
        <v>210</v>
      </c>
      <c r="D8" s="54" t="s">
        <v>211</v>
      </c>
      <c r="E8" s="55" t="s">
        <v>212</v>
      </c>
      <c r="F8" s="55" t="s">
        <v>213</v>
      </c>
      <c r="G8" s="55" t="s">
        <v>214</v>
      </c>
    </row>
    <row r="9" spans="1:7" ht="18" customHeight="1" x14ac:dyDescent="0.25">
      <c r="A9" s="136" t="s">
        <v>215</v>
      </c>
      <c r="B9" s="136"/>
      <c r="C9" s="136"/>
      <c r="D9" s="136"/>
      <c r="E9" s="136"/>
      <c r="F9" s="136"/>
      <c r="G9" s="136"/>
    </row>
    <row r="10" spans="1:7" ht="79.5" customHeight="1" x14ac:dyDescent="0.25">
      <c r="A10" s="53" t="s">
        <v>216</v>
      </c>
      <c r="B10" s="54" t="s">
        <v>217</v>
      </c>
      <c r="C10" s="55" t="s">
        <v>218</v>
      </c>
      <c r="D10" s="54" t="s">
        <v>219</v>
      </c>
      <c r="E10" s="55" t="s">
        <v>220</v>
      </c>
      <c r="F10" s="55" t="s">
        <v>221</v>
      </c>
      <c r="G10" s="55" t="s">
        <v>222</v>
      </c>
    </row>
    <row r="11" spans="1:7" ht="79.5" customHeight="1" x14ac:dyDescent="0.25">
      <c r="A11" s="18" t="s">
        <v>223</v>
      </c>
      <c r="B11" s="51" t="s">
        <v>224</v>
      </c>
      <c r="C11" s="52" t="s">
        <v>225</v>
      </c>
      <c r="D11" s="51" t="s">
        <v>226</v>
      </c>
      <c r="E11" s="52" t="s">
        <v>227</v>
      </c>
      <c r="F11" s="52" t="s">
        <v>228</v>
      </c>
      <c r="G11" s="52" t="s">
        <v>229</v>
      </c>
    </row>
    <row r="12" spans="1:7" ht="18" customHeight="1" x14ac:dyDescent="0.25">
      <c r="A12" s="136" t="s">
        <v>230</v>
      </c>
      <c r="B12" s="136"/>
      <c r="C12" s="136"/>
      <c r="D12" s="136"/>
      <c r="E12" s="136"/>
      <c r="F12" s="136"/>
      <c r="G12" s="136"/>
    </row>
    <row r="13" spans="1:7" ht="79.5" customHeight="1" x14ac:dyDescent="0.25">
      <c r="A13" s="18" t="s">
        <v>231</v>
      </c>
      <c r="B13" s="51" t="s">
        <v>232</v>
      </c>
      <c r="C13" s="52" t="s">
        <v>233</v>
      </c>
      <c r="D13" s="51" t="s">
        <v>234</v>
      </c>
      <c r="E13" s="52" t="s">
        <v>235</v>
      </c>
      <c r="F13" s="52" t="s">
        <v>236</v>
      </c>
      <c r="G13" s="52" t="s">
        <v>237</v>
      </c>
    </row>
    <row r="14" spans="1:7" ht="79.5" customHeight="1" x14ac:dyDescent="0.25">
      <c r="A14" s="53" t="s">
        <v>238</v>
      </c>
      <c r="B14" s="54" t="s">
        <v>239</v>
      </c>
      <c r="C14" s="55" t="s">
        <v>240</v>
      </c>
      <c r="D14" s="54" t="s">
        <v>241</v>
      </c>
      <c r="E14" s="55" t="s">
        <v>242</v>
      </c>
      <c r="F14" s="55" t="s">
        <v>243</v>
      </c>
      <c r="G14" s="55" t="s">
        <v>244</v>
      </c>
    </row>
    <row r="15" spans="1:7" ht="79.5" customHeight="1" x14ac:dyDescent="0.25">
      <c r="A15" s="18" t="s">
        <v>245</v>
      </c>
      <c r="B15" s="51" t="s">
        <v>246</v>
      </c>
      <c r="C15" s="52" t="s">
        <v>247</v>
      </c>
      <c r="D15" s="51" t="s">
        <v>248</v>
      </c>
      <c r="E15" s="52" t="s">
        <v>249</v>
      </c>
      <c r="F15" s="52" t="s">
        <v>250</v>
      </c>
      <c r="G15" s="52" t="s">
        <v>251</v>
      </c>
    </row>
    <row r="16" spans="1:7" ht="18" customHeight="1" x14ac:dyDescent="0.25">
      <c r="A16" s="136" t="s">
        <v>252</v>
      </c>
      <c r="B16" s="136"/>
      <c r="C16" s="136"/>
      <c r="D16" s="136"/>
      <c r="E16" s="136"/>
      <c r="F16" s="136"/>
      <c r="G16" s="136"/>
    </row>
    <row r="17" spans="1:7" ht="79.5" customHeight="1" x14ac:dyDescent="0.25">
      <c r="A17" s="18" t="s">
        <v>253</v>
      </c>
      <c r="B17" s="51" t="s">
        <v>254</v>
      </c>
      <c r="C17" s="52" t="s">
        <v>255</v>
      </c>
      <c r="D17" s="51" t="s">
        <v>256</v>
      </c>
      <c r="E17" s="52" t="s">
        <v>257</v>
      </c>
      <c r="F17" s="52" t="s">
        <v>258</v>
      </c>
      <c r="G17" s="52" t="s">
        <v>259</v>
      </c>
    </row>
    <row r="18" spans="1:7" ht="79.5" customHeight="1" x14ac:dyDescent="0.25">
      <c r="A18" s="53" t="s">
        <v>260</v>
      </c>
      <c r="B18" s="54" t="s">
        <v>261</v>
      </c>
      <c r="C18" s="55" t="s">
        <v>262</v>
      </c>
      <c r="D18" s="54" t="s">
        <v>263</v>
      </c>
      <c r="E18" s="55" t="s">
        <v>264</v>
      </c>
      <c r="F18" s="55" t="s">
        <v>265</v>
      </c>
      <c r="G18" s="55" t="s">
        <v>266</v>
      </c>
    </row>
    <row r="19" spans="1:7" ht="18" customHeight="1" x14ac:dyDescent="0.25">
      <c r="A19" s="136" t="s">
        <v>267</v>
      </c>
      <c r="B19" s="136"/>
      <c r="C19" s="136"/>
      <c r="D19" s="136"/>
      <c r="E19" s="136"/>
      <c r="F19" s="136"/>
      <c r="G19" s="136"/>
    </row>
    <row r="20" spans="1:7" ht="79.5" customHeight="1" x14ac:dyDescent="0.25">
      <c r="A20" s="53" t="s">
        <v>268</v>
      </c>
      <c r="B20" s="54" t="s">
        <v>269</v>
      </c>
      <c r="C20" s="55" t="s">
        <v>270</v>
      </c>
      <c r="D20" s="54" t="s">
        <v>271</v>
      </c>
      <c r="E20" s="55" t="s">
        <v>272</v>
      </c>
      <c r="F20" s="55" t="s">
        <v>273</v>
      </c>
      <c r="G20" s="55" t="s">
        <v>274</v>
      </c>
    </row>
    <row r="21" spans="1:7" ht="18" customHeight="1" x14ac:dyDescent="0.25">
      <c r="A21" s="136" t="s">
        <v>275</v>
      </c>
      <c r="B21" s="136"/>
      <c r="C21" s="136"/>
      <c r="D21" s="136"/>
      <c r="E21" s="136"/>
      <c r="F21" s="136"/>
      <c r="G21" s="136"/>
    </row>
    <row r="22" spans="1:7" ht="79.5" customHeight="1" x14ac:dyDescent="0.25">
      <c r="A22" s="53" t="s">
        <v>276</v>
      </c>
      <c r="B22" s="54" t="s">
        <v>277</v>
      </c>
      <c r="C22" s="55" t="s">
        <v>278</v>
      </c>
      <c r="D22" s="54" t="s">
        <v>279</v>
      </c>
      <c r="E22" s="55" t="s">
        <v>280</v>
      </c>
      <c r="F22" s="55" t="s">
        <v>281</v>
      </c>
      <c r="G22" s="55" t="s">
        <v>282</v>
      </c>
    </row>
    <row r="23" spans="1:7" ht="18" customHeight="1" x14ac:dyDescent="0.25">
      <c r="A23" s="136" t="s">
        <v>283</v>
      </c>
      <c r="B23" s="136"/>
      <c r="C23" s="136"/>
      <c r="D23" s="136"/>
      <c r="E23" s="136"/>
      <c r="F23" s="136"/>
      <c r="G23" s="136"/>
    </row>
    <row r="24" spans="1:7" ht="79.5" customHeight="1" x14ac:dyDescent="0.25">
      <c r="A24" s="53" t="s">
        <v>284</v>
      </c>
      <c r="B24" s="54" t="s">
        <v>285</v>
      </c>
      <c r="C24" s="55" t="s">
        <v>286</v>
      </c>
      <c r="D24" s="54" t="s">
        <v>287</v>
      </c>
      <c r="E24" s="55" t="s">
        <v>288</v>
      </c>
      <c r="F24" s="55" t="s">
        <v>289</v>
      </c>
      <c r="G24" s="55" t="s">
        <v>290</v>
      </c>
    </row>
  </sheetData>
  <mergeCells count="9">
    <mergeCell ref="A16:G16"/>
    <mergeCell ref="A19:G19"/>
    <mergeCell ref="A21:G21"/>
    <mergeCell ref="A23:G23"/>
    <mergeCell ref="A1:G1"/>
    <mergeCell ref="A2:G2"/>
    <mergeCell ref="A4:G4"/>
    <mergeCell ref="A9:G9"/>
    <mergeCell ref="A12:G12"/>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7"/>
  <sheetViews>
    <sheetView showGridLines="0" zoomScaleNormal="100" workbookViewId="0">
      <pane ySplit="4" topLeftCell="A5" activePane="bottomLeft" state="frozen"/>
      <selection pane="bottomLeft" sqref="A1:H1"/>
    </sheetView>
  </sheetViews>
  <sheetFormatPr defaultColWidth="8.7109375" defaultRowHeight="15" x14ac:dyDescent="0.25"/>
  <cols>
    <col min="1" max="1" width="34" customWidth="1"/>
    <col min="2" max="3" width="18" customWidth="1"/>
    <col min="4" max="4" width="14" customWidth="1"/>
    <col min="5" max="7" width="18" customWidth="1"/>
    <col min="8" max="8" width="32" customWidth="1"/>
  </cols>
  <sheetData>
    <row r="1" spans="1:8" ht="33.75" customHeight="1" x14ac:dyDescent="0.25">
      <c r="A1" s="1" t="s">
        <v>291</v>
      </c>
      <c r="B1" s="1"/>
      <c r="C1" s="1"/>
      <c r="D1" s="1"/>
      <c r="E1" s="1"/>
      <c r="F1" s="1"/>
      <c r="G1" s="1"/>
      <c r="H1" s="1"/>
    </row>
    <row r="2" spans="1:8" ht="18" customHeight="1" x14ac:dyDescent="0.25">
      <c r="A2" s="135" t="s">
        <v>292</v>
      </c>
      <c r="B2" s="135"/>
      <c r="C2" s="135"/>
      <c r="D2" s="135"/>
      <c r="E2" s="135"/>
      <c r="F2" s="135"/>
      <c r="G2" s="135"/>
      <c r="H2" s="135"/>
    </row>
    <row r="3" spans="1:8" ht="19.5" customHeight="1" x14ac:dyDescent="0.25">
      <c r="A3" s="137" t="s">
        <v>293</v>
      </c>
      <c r="B3" s="137"/>
      <c r="C3" s="137"/>
      <c r="D3" s="137"/>
      <c r="E3" s="137"/>
      <c r="F3" s="137"/>
      <c r="G3" s="137"/>
      <c r="H3" s="137"/>
    </row>
    <row r="4" spans="1:8" ht="27.75" customHeight="1" x14ac:dyDescent="0.25">
      <c r="A4" s="15" t="s">
        <v>180</v>
      </c>
      <c r="B4" s="15" t="s">
        <v>294</v>
      </c>
      <c r="C4" s="15" t="s">
        <v>295</v>
      </c>
      <c r="D4" s="15" t="s">
        <v>296</v>
      </c>
      <c r="E4" s="15" t="s">
        <v>297</v>
      </c>
      <c r="F4" s="15" t="s">
        <v>298</v>
      </c>
      <c r="G4" s="15" t="s">
        <v>299</v>
      </c>
      <c r="H4" s="15" t="s">
        <v>300</v>
      </c>
    </row>
    <row r="5" spans="1:8" ht="21.75" customHeight="1" x14ac:dyDescent="0.25">
      <c r="A5" s="56" t="s">
        <v>301</v>
      </c>
      <c r="B5" s="57" t="s">
        <v>302</v>
      </c>
      <c r="C5" s="58">
        <v>1234.48</v>
      </c>
      <c r="D5" s="59">
        <v>0.18</v>
      </c>
      <c r="E5" s="60">
        <f>C5*(1-D5)</f>
        <v>1012.2736000000001</v>
      </c>
      <c r="F5" s="60">
        <f>C5*D5</f>
        <v>222.2064</v>
      </c>
      <c r="G5" s="61">
        <f t="shared" ref="G5:G10" si="0">F5*12</f>
        <v>2666.4767999999999</v>
      </c>
      <c r="H5" s="62" t="s">
        <v>303</v>
      </c>
    </row>
    <row r="6" spans="1:8" ht="21.75" customHeight="1" x14ac:dyDescent="0.25">
      <c r="A6" s="63" t="s">
        <v>304</v>
      </c>
      <c r="B6" s="64" t="s">
        <v>302</v>
      </c>
      <c r="C6" s="65">
        <v>70.08</v>
      </c>
      <c r="D6" s="66">
        <v>0.4</v>
      </c>
      <c r="E6" s="67">
        <f>C6*(1-D6)</f>
        <v>42.047999999999995</v>
      </c>
      <c r="F6" s="67">
        <f>C6*D6</f>
        <v>28.032</v>
      </c>
      <c r="G6" s="68">
        <f t="shared" si="0"/>
        <v>336.38400000000001</v>
      </c>
      <c r="H6" s="69" t="s">
        <v>305</v>
      </c>
    </row>
    <row r="7" spans="1:8" ht="21.75" customHeight="1" x14ac:dyDescent="0.25">
      <c r="A7" s="56" t="s">
        <v>306</v>
      </c>
      <c r="B7" s="57" t="s">
        <v>302</v>
      </c>
      <c r="C7" s="58">
        <v>70.08</v>
      </c>
      <c r="D7" s="59">
        <v>0.4</v>
      </c>
      <c r="E7" s="60">
        <f>C7*(1-D7)</f>
        <v>42.047999999999995</v>
      </c>
      <c r="F7" s="60">
        <f>C7*D7</f>
        <v>28.032</v>
      </c>
      <c r="G7" s="61">
        <f t="shared" si="0"/>
        <v>336.38400000000001</v>
      </c>
      <c r="H7" s="62" t="s">
        <v>305</v>
      </c>
    </row>
    <row r="8" spans="1:8" ht="21.75" customHeight="1" x14ac:dyDescent="0.25">
      <c r="A8" s="63" t="s">
        <v>307</v>
      </c>
      <c r="B8" s="64" t="s">
        <v>308</v>
      </c>
      <c r="C8" s="65">
        <v>1456</v>
      </c>
      <c r="D8" s="66">
        <v>0.4</v>
      </c>
      <c r="E8" s="67">
        <f>C8*(1-D8)</f>
        <v>873.6</v>
      </c>
      <c r="F8" s="67">
        <f>C8*D8</f>
        <v>582.4</v>
      </c>
      <c r="G8" s="68">
        <f t="shared" si="0"/>
        <v>6988.7999999999993</v>
      </c>
      <c r="H8" s="69" t="s">
        <v>309</v>
      </c>
    </row>
    <row r="9" spans="1:8" ht="21.75" customHeight="1" x14ac:dyDescent="0.25">
      <c r="A9" s="56" t="s">
        <v>310</v>
      </c>
      <c r="B9" s="57" t="s">
        <v>308</v>
      </c>
      <c r="C9" s="58">
        <v>1456</v>
      </c>
      <c r="D9" s="59">
        <v>0.4</v>
      </c>
      <c r="E9" s="60">
        <f>C9*(1-D9)</f>
        <v>873.6</v>
      </c>
      <c r="F9" s="60">
        <f>C9*D9</f>
        <v>582.4</v>
      </c>
      <c r="G9" s="61">
        <f t="shared" si="0"/>
        <v>6988.7999999999993</v>
      </c>
      <c r="H9" s="62" t="s">
        <v>311</v>
      </c>
    </row>
    <row r="10" spans="1:8" ht="24" customHeight="1" x14ac:dyDescent="0.25">
      <c r="A10" s="138" t="s">
        <v>312</v>
      </c>
      <c r="B10" s="138"/>
      <c r="C10" s="138"/>
      <c r="D10" s="138"/>
      <c r="E10" s="138"/>
      <c r="F10" s="70">
        <f>SUM(F5:F9)</f>
        <v>1443.0704000000001</v>
      </c>
      <c r="G10" s="71">
        <f t="shared" si="0"/>
        <v>17316.844799999999</v>
      </c>
      <c r="H10" s="72" t="s">
        <v>313</v>
      </c>
    </row>
    <row r="13" spans="1:8" ht="19.5" customHeight="1" x14ac:dyDescent="0.25">
      <c r="A13" s="137" t="s">
        <v>314</v>
      </c>
      <c r="B13" s="137"/>
      <c r="C13" s="137"/>
      <c r="D13" s="137"/>
      <c r="E13" s="137"/>
      <c r="F13" s="137"/>
      <c r="G13" s="137"/>
      <c r="H13" s="137"/>
    </row>
    <row r="14" spans="1:8" ht="27.75" customHeight="1" x14ac:dyDescent="0.25">
      <c r="A14" s="15" t="s">
        <v>180</v>
      </c>
      <c r="B14" s="15" t="s">
        <v>315</v>
      </c>
      <c r="C14" s="15" t="s">
        <v>316</v>
      </c>
      <c r="D14" s="15" t="s">
        <v>317</v>
      </c>
      <c r="E14" s="15" t="s">
        <v>318</v>
      </c>
      <c r="F14" s="15" t="s">
        <v>319</v>
      </c>
      <c r="G14" s="15" t="s">
        <v>320</v>
      </c>
      <c r="H14" s="15" t="s">
        <v>321</v>
      </c>
    </row>
    <row r="15" spans="1:8" ht="21.75" customHeight="1" x14ac:dyDescent="0.25">
      <c r="A15" s="56" t="s">
        <v>322</v>
      </c>
      <c r="B15" s="58">
        <v>1234.48</v>
      </c>
      <c r="C15" s="60">
        <f>C5*2*(1-D5)</f>
        <v>2024.5472000000002</v>
      </c>
      <c r="D15" s="59">
        <v>0.3</v>
      </c>
      <c r="E15" s="60">
        <f>C15*(1-D15)</f>
        <v>1417.1830400000001</v>
      </c>
      <c r="F15" s="60">
        <f>B15-E15</f>
        <v>-182.7030400000001</v>
      </c>
      <c r="G15" s="61">
        <f t="shared" ref="G15:G20" si="1">F15*12</f>
        <v>-2192.4364800000012</v>
      </c>
      <c r="H15" s="62" t="s">
        <v>323</v>
      </c>
    </row>
    <row r="16" spans="1:8" ht="21.75" customHeight="1" x14ac:dyDescent="0.25">
      <c r="A16" s="63" t="s">
        <v>307</v>
      </c>
      <c r="B16" s="65">
        <v>1456</v>
      </c>
      <c r="C16" s="67">
        <f>C8*(1-D8)</f>
        <v>873.6</v>
      </c>
      <c r="D16" s="66">
        <v>0.33</v>
      </c>
      <c r="E16" s="67">
        <f>C16*(1-D16)</f>
        <v>585.3119999999999</v>
      </c>
      <c r="F16" s="67">
        <f>B16-E16</f>
        <v>870.6880000000001</v>
      </c>
      <c r="G16" s="68">
        <f t="shared" si="1"/>
        <v>10448.256000000001</v>
      </c>
      <c r="H16" s="69" t="s">
        <v>324</v>
      </c>
    </row>
    <row r="17" spans="1:8" ht="21.75" customHeight="1" x14ac:dyDescent="0.25">
      <c r="A17" s="56" t="s">
        <v>325</v>
      </c>
      <c r="B17" s="58">
        <v>1456</v>
      </c>
      <c r="C17" s="60">
        <f>C9*(1-D9)</f>
        <v>873.6</v>
      </c>
      <c r="D17" s="59">
        <v>0.33</v>
      </c>
      <c r="E17" s="60">
        <f>C17*(1-D17)</f>
        <v>585.3119999999999</v>
      </c>
      <c r="F17" s="60">
        <f>B17-E17</f>
        <v>870.6880000000001</v>
      </c>
      <c r="G17" s="61">
        <f t="shared" si="1"/>
        <v>10448.256000000001</v>
      </c>
      <c r="H17" s="62" t="s">
        <v>324</v>
      </c>
    </row>
    <row r="18" spans="1:8" ht="21.75" customHeight="1" x14ac:dyDescent="0.25">
      <c r="A18" s="63" t="s">
        <v>23</v>
      </c>
      <c r="B18" s="65">
        <v>268</v>
      </c>
      <c r="C18" s="65">
        <v>268</v>
      </c>
      <c r="D18" s="66">
        <v>0.36</v>
      </c>
      <c r="E18" s="67">
        <f>C18*(1-D18)</f>
        <v>171.52</v>
      </c>
      <c r="F18" s="67">
        <f>B18-E18</f>
        <v>96.47999999999999</v>
      </c>
      <c r="G18" s="68">
        <f t="shared" si="1"/>
        <v>1157.7599999999998</v>
      </c>
      <c r="H18" s="69" t="s">
        <v>326</v>
      </c>
    </row>
    <row r="19" spans="1:8" ht="21.75" customHeight="1" x14ac:dyDescent="0.25">
      <c r="A19" s="56" t="s">
        <v>327</v>
      </c>
      <c r="B19" s="58">
        <v>140.16</v>
      </c>
      <c r="C19" s="60">
        <f>(C6+C7)*(1-D6)</f>
        <v>84.095999999999989</v>
      </c>
      <c r="D19" s="59">
        <v>0.4</v>
      </c>
      <c r="E19" s="60">
        <f>C19*(1-D19)</f>
        <v>50.457599999999992</v>
      </c>
      <c r="F19" s="60">
        <f>B19-E19</f>
        <v>89.702400000000011</v>
      </c>
      <c r="G19" s="61">
        <f t="shared" si="1"/>
        <v>1076.4288000000001</v>
      </c>
      <c r="H19" s="62" t="s">
        <v>328</v>
      </c>
    </row>
    <row r="20" spans="1:8" ht="24" customHeight="1" x14ac:dyDescent="0.25">
      <c r="A20" s="139" t="s">
        <v>329</v>
      </c>
      <c r="B20" s="139"/>
      <c r="C20" s="139"/>
      <c r="D20" s="139"/>
      <c r="E20" s="139"/>
      <c r="F20" s="73">
        <f>SUM(F15:F19)</f>
        <v>1744.85536</v>
      </c>
      <c r="G20" s="74">
        <f t="shared" si="1"/>
        <v>20938.264320000002</v>
      </c>
      <c r="H20" s="75"/>
    </row>
    <row r="23" spans="1:8" ht="19.5" customHeight="1" x14ac:dyDescent="0.25">
      <c r="A23" s="137" t="s">
        <v>330</v>
      </c>
      <c r="B23" s="137"/>
      <c r="C23" s="137"/>
      <c r="D23" s="137"/>
      <c r="E23" s="137"/>
      <c r="F23" s="137"/>
      <c r="G23" s="137"/>
      <c r="H23" s="137"/>
    </row>
    <row r="24" spans="1:8" ht="21.75" customHeight="1" x14ac:dyDescent="0.25">
      <c r="A24" s="140" t="s">
        <v>331</v>
      </c>
      <c r="B24" s="140"/>
      <c r="C24" s="140"/>
      <c r="D24" s="140"/>
      <c r="E24" s="140"/>
      <c r="F24" s="76">
        <f>'Instance Inventaris'!H59</f>
        <v>9484</v>
      </c>
      <c r="G24" s="77"/>
      <c r="H24" s="77"/>
    </row>
    <row r="25" spans="1:8" ht="21.75" customHeight="1" x14ac:dyDescent="0.25">
      <c r="A25" s="140" t="s">
        <v>332</v>
      </c>
      <c r="B25" s="140"/>
      <c r="C25" s="140"/>
      <c r="D25" s="140"/>
      <c r="E25" s="140"/>
      <c r="F25" s="78">
        <f>-F10</f>
        <v>-1443.0704000000001</v>
      </c>
      <c r="G25" s="77"/>
      <c r="H25" s="77"/>
    </row>
    <row r="26" spans="1:8" ht="21.75" customHeight="1" x14ac:dyDescent="0.25">
      <c r="A26" s="140" t="s">
        <v>333</v>
      </c>
      <c r="B26" s="140"/>
      <c r="C26" s="140"/>
      <c r="D26" s="140"/>
      <c r="E26" s="140"/>
      <c r="F26" s="79">
        <f>-F20</f>
        <v>-1744.85536</v>
      </c>
      <c r="G26" s="77"/>
      <c r="H26" s="77"/>
    </row>
    <row r="27" spans="1:8" ht="27.75" customHeight="1" x14ac:dyDescent="0.25">
      <c r="A27" s="141" t="s">
        <v>334</v>
      </c>
      <c r="B27" s="141"/>
      <c r="C27" s="141"/>
      <c r="D27" s="141"/>
      <c r="E27" s="141"/>
      <c r="F27" s="50">
        <f>F24+F25+F26</f>
        <v>6296.0742399999999</v>
      </c>
      <c r="G27" s="50">
        <f>F27*12</f>
        <v>75552.890879999992</v>
      </c>
      <c r="H27" s="80"/>
    </row>
  </sheetData>
  <mergeCells count="11">
    <mergeCell ref="A27:E27"/>
    <mergeCell ref="A20:E20"/>
    <mergeCell ref="A23:H23"/>
    <mergeCell ref="A24:E24"/>
    <mergeCell ref="A25:E25"/>
    <mergeCell ref="A26:E26"/>
    <mergeCell ref="A1:H1"/>
    <mergeCell ref="A2:H2"/>
    <mergeCell ref="A3:H3"/>
    <mergeCell ref="A10:E10"/>
    <mergeCell ref="A13:H13"/>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6"/>
  <sheetViews>
    <sheetView showGridLines="0" zoomScaleNormal="100" workbookViewId="0">
      <pane ySplit="4" topLeftCell="A5" activePane="bottomLeft" state="frozen"/>
      <selection pane="bottomLeft" sqref="A1:I1"/>
    </sheetView>
  </sheetViews>
  <sheetFormatPr defaultColWidth="8.7109375" defaultRowHeight="15" x14ac:dyDescent="0.25"/>
  <cols>
    <col min="1" max="1" width="22" customWidth="1"/>
    <col min="2" max="3" width="20" customWidth="1"/>
    <col min="4" max="6" width="14" customWidth="1"/>
    <col min="7" max="7" width="12" customWidth="1"/>
    <col min="8" max="8" width="38" customWidth="1"/>
    <col min="9" max="9" width="28" customWidth="1"/>
  </cols>
  <sheetData>
    <row r="1" spans="1:9" ht="33.75" customHeight="1" x14ac:dyDescent="0.25">
      <c r="A1" s="1" t="s">
        <v>335</v>
      </c>
      <c r="B1" s="1"/>
      <c r="C1" s="1"/>
      <c r="D1" s="1"/>
      <c r="E1" s="1"/>
      <c r="F1" s="1"/>
      <c r="G1" s="1"/>
      <c r="H1" s="1"/>
      <c r="I1" s="1"/>
    </row>
    <row r="2" spans="1:9" ht="18" customHeight="1" x14ac:dyDescent="0.25">
      <c r="A2" s="135" t="s">
        <v>336</v>
      </c>
      <c r="B2" s="135"/>
      <c r="C2" s="135"/>
      <c r="D2" s="135"/>
      <c r="E2" s="135"/>
      <c r="F2" s="135"/>
      <c r="G2" s="135"/>
      <c r="H2" s="135"/>
      <c r="I2" s="135"/>
    </row>
    <row r="3" spans="1:9" ht="19.5" customHeight="1" x14ac:dyDescent="0.25">
      <c r="A3" s="137" t="s">
        <v>337</v>
      </c>
      <c r="B3" s="137"/>
      <c r="C3" s="137"/>
      <c r="D3" s="137"/>
      <c r="E3" s="137"/>
      <c r="F3" s="137"/>
      <c r="G3" s="137"/>
      <c r="H3" s="137"/>
      <c r="I3" s="137"/>
    </row>
    <row r="4" spans="1:9" ht="39.75" customHeight="1" x14ac:dyDescent="0.25">
      <c r="A4" s="15" t="s">
        <v>3</v>
      </c>
      <c r="B4" s="15" t="s">
        <v>338</v>
      </c>
      <c r="C4" s="15" t="s">
        <v>339</v>
      </c>
      <c r="D4" s="15" t="s">
        <v>340</v>
      </c>
      <c r="E4" s="15" t="s">
        <v>341</v>
      </c>
      <c r="F4" s="15" t="s">
        <v>342</v>
      </c>
      <c r="G4" s="15" t="s">
        <v>343</v>
      </c>
      <c r="H4" s="15" t="s">
        <v>344</v>
      </c>
      <c r="I4" s="15" t="s">
        <v>345</v>
      </c>
    </row>
    <row r="5" spans="1:9" ht="18" customHeight="1" x14ac:dyDescent="0.25">
      <c r="A5" s="136" t="s">
        <v>187</v>
      </c>
      <c r="B5" s="136"/>
      <c r="C5" s="136"/>
      <c r="D5" s="136"/>
      <c r="E5" s="136"/>
      <c r="F5" s="136"/>
      <c r="G5" s="136"/>
      <c r="H5" s="136"/>
      <c r="I5" s="136"/>
    </row>
    <row r="6" spans="1:9" ht="69.75" customHeight="1" x14ac:dyDescent="0.25">
      <c r="A6" s="53" t="s">
        <v>346</v>
      </c>
      <c r="B6" s="81" t="s">
        <v>347</v>
      </c>
      <c r="C6" s="82" t="s">
        <v>348</v>
      </c>
      <c r="D6" s="65">
        <v>12</v>
      </c>
      <c r="E6" s="83">
        <v>1234.48</v>
      </c>
      <c r="F6" s="67">
        <f>E6-D6</f>
        <v>1222.48</v>
      </c>
      <c r="G6" s="84">
        <f>IF(E6&gt;0,(E6-D6)/E6,0)</f>
        <v>0.99027930788672158</v>
      </c>
      <c r="H6" s="81" t="s">
        <v>349</v>
      </c>
      <c r="I6" s="85" t="s">
        <v>350</v>
      </c>
    </row>
    <row r="7" spans="1:9" ht="69.75" customHeight="1" x14ac:dyDescent="0.25">
      <c r="A7" s="18" t="s">
        <v>351</v>
      </c>
      <c r="B7" s="86" t="s">
        <v>352</v>
      </c>
      <c r="C7" s="87" t="s">
        <v>353</v>
      </c>
      <c r="D7" s="58">
        <v>1.8</v>
      </c>
      <c r="E7" s="88">
        <v>1.8</v>
      </c>
      <c r="F7" s="60">
        <f>E7-D7</f>
        <v>0</v>
      </c>
      <c r="G7" s="89">
        <f>IF(E7&gt;0,(E7-D7)/E7,0)</f>
        <v>0</v>
      </c>
      <c r="H7" s="86" t="s">
        <v>354</v>
      </c>
      <c r="I7" s="90" t="s">
        <v>355</v>
      </c>
    </row>
    <row r="8" spans="1:9" ht="18" customHeight="1" x14ac:dyDescent="0.25">
      <c r="A8" s="136" t="s">
        <v>215</v>
      </c>
      <c r="B8" s="136"/>
      <c r="C8" s="136"/>
      <c r="D8" s="136"/>
      <c r="E8" s="136"/>
      <c r="F8" s="136"/>
      <c r="G8" s="136"/>
      <c r="H8" s="136"/>
      <c r="I8" s="136"/>
    </row>
    <row r="9" spans="1:9" ht="69.75" customHeight="1" x14ac:dyDescent="0.25">
      <c r="A9" s="18" t="s">
        <v>356</v>
      </c>
      <c r="B9" s="86" t="s">
        <v>357</v>
      </c>
      <c r="C9" s="87" t="s">
        <v>358</v>
      </c>
      <c r="D9" s="58">
        <v>45</v>
      </c>
      <c r="E9" s="88">
        <v>1456</v>
      </c>
      <c r="F9" s="60">
        <f>E9-D9</f>
        <v>1411</v>
      </c>
      <c r="G9" s="89">
        <f>IF(E9&gt;0,(E9-D9)/E9,0)</f>
        <v>0.96909340659340659</v>
      </c>
      <c r="H9" s="86" t="s">
        <v>359</v>
      </c>
      <c r="I9" s="90" t="s">
        <v>360</v>
      </c>
    </row>
    <row r="10" spans="1:9" ht="18" customHeight="1" x14ac:dyDescent="0.25">
      <c r="A10" s="136" t="s">
        <v>252</v>
      </c>
      <c r="B10" s="136"/>
      <c r="C10" s="136"/>
      <c r="D10" s="136"/>
      <c r="E10" s="136"/>
      <c r="F10" s="136"/>
      <c r="G10" s="136"/>
      <c r="H10" s="136"/>
      <c r="I10" s="136"/>
    </row>
    <row r="11" spans="1:9" ht="69.75" customHeight="1" x14ac:dyDescent="0.25">
      <c r="A11" s="18" t="s">
        <v>361</v>
      </c>
      <c r="B11" s="86" t="s">
        <v>362</v>
      </c>
      <c r="C11" s="87" t="s">
        <v>254</v>
      </c>
      <c r="D11" s="58">
        <v>3.6</v>
      </c>
      <c r="E11" s="88">
        <v>40</v>
      </c>
      <c r="F11" s="60">
        <f>E11-D11</f>
        <v>36.4</v>
      </c>
      <c r="G11" s="89">
        <f>IF(E11&gt;0,(E11-D11)/E11,0)</f>
        <v>0.90999999999999992</v>
      </c>
      <c r="H11" s="86" t="s">
        <v>363</v>
      </c>
      <c r="I11" s="90" t="s">
        <v>364</v>
      </c>
    </row>
    <row r="12" spans="1:9" ht="18" customHeight="1" x14ac:dyDescent="0.25">
      <c r="A12" s="136" t="s">
        <v>365</v>
      </c>
      <c r="B12" s="136"/>
      <c r="C12" s="136"/>
      <c r="D12" s="136"/>
      <c r="E12" s="136"/>
      <c r="F12" s="136"/>
      <c r="G12" s="136"/>
      <c r="H12" s="136"/>
      <c r="I12" s="136"/>
    </row>
    <row r="13" spans="1:9" ht="69.75" customHeight="1" x14ac:dyDescent="0.25">
      <c r="A13" s="18" t="s">
        <v>366</v>
      </c>
      <c r="B13" s="86" t="s">
        <v>367</v>
      </c>
      <c r="C13" s="87" t="s">
        <v>368</v>
      </c>
      <c r="D13" s="58">
        <v>0</v>
      </c>
      <c r="E13" s="88">
        <v>0</v>
      </c>
      <c r="F13" s="60">
        <f>E13-D13</f>
        <v>0</v>
      </c>
      <c r="G13" s="89">
        <f>IF(E13&gt;0,(E13-D13)/E13,0)</f>
        <v>0</v>
      </c>
      <c r="H13" s="86" t="s">
        <v>369</v>
      </c>
      <c r="I13" s="90" t="s">
        <v>370</v>
      </c>
    </row>
    <row r="14" spans="1:9" ht="69.75" customHeight="1" x14ac:dyDescent="0.25">
      <c r="A14" s="53" t="s">
        <v>371</v>
      </c>
      <c r="B14" s="81" t="s">
        <v>372</v>
      </c>
      <c r="C14" s="82" t="s">
        <v>373</v>
      </c>
      <c r="D14" s="65">
        <v>0</v>
      </c>
      <c r="E14" s="83">
        <v>0</v>
      </c>
      <c r="F14" s="67">
        <f>E14-D14</f>
        <v>0</v>
      </c>
      <c r="G14" s="84">
        <f>IF(E14&gt;0,(E14-D14)/E14,0)</f>
        <v>0</v>
      </c>
      <c r="H14" s="81" t="s">
        <v>374</v>
      </c>
      <c r="I14" s="85" t="s">
        <v>375</v>
      </c>
    </row>
    <row r="16" spans="1:9" ht="25.5" customHeight="1" x14ac:dyDescent="0.25">
      <c r="A16" s="142" t="s">
        <v>376</v>
      </c>
      <c r="B16" s="142"/>
      <c r="C16" s="142"/>
      <c r="D16" s="92">
        <f>SUM(D6:D11)</f>
        <v>62.4</v>
      </c>
      <c r="E16" s="92">
        <f>SUM(E6:E11)</f>
        <v>2732.2799999999997</v>
      </c>
      <c r="F16" s="92">
        <f>E16-D16</f>
        <v>2669.8799999999997</v>
      </c>
      <c r="G16" s="93">
        <f>IF(E16&gt;0,(E16-D16)/E16,0)</f>
        <v>0.97716193069524349</v>
      </c>
      <c r="H16" s="94"/>
      <c r="I16" s="94"/>
    </row>
  </sheetData>
  <mergeCells count="8">
    <mergeCell ref="A10:I10"/>
    <mergeCell ref="A12:I12"/>
    <mergeCell ref="A16:C16"/>
    <mergeCell ref="A1:I1"/>
    <mergeCell ref="A2:I2"/>
    <mergeCell ref="A3:I3"/>
    <mergeCell ref="A5:I5"/>
    <mergeCell ref="A8:I8"/>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5"/>
  <sheetViews>
    <sheetView showGridLines="0" zoomScaleNormal="100" workbookViewId="0">
      <pane ySplit="3" topLeftCell="A4" activePane="bottomLeft" state="frozen"/>
      <selection pane="bottomLeft" sqref="A1:G1"/>
    </sheetView>
  </sheetViews>
  <sheetFormatPr defaultColWidth="8.7109375" defaultRowHeight="15" x14ac:dyDescent="0.25"/>
  <cols>
    <col min="1" max="1" width="44" customWidth="1"/>
    <col min="2" max="5" width="16" customWidth="1"/>
    <col min="6" max="6" width="12" customWidth="1"/>
    <col min="7" max="7" width="38" customWidth="1"/>
  </cols>
  <sheetData>
    <row r="1" spans="1:7" ht="33.75" customHeight="1" x14ac:dyDescent="0.25">
      <c r="A1" s="1" t="s">
        <v>377</v>
      </c>
      <c r="B1" s="1"/>
      <c r="C1" s="1"/>
      <c r="D1" s="1"/>
      <c r="E1" s="1"/>
      <c r="F1" s="1"/>
      <c r="G1" s="1"/>
    </row>
    <row r="2" spans="1:7" ht="18" customHeight="1" x14ac:dyDescent="0.25">
      <c r="A2" s="135" t="s">
        <v>378</v>
      </c>
      <c r="B2" s="135"/>
      <c r="C2" s="135"/>
      <c r="D2" s="135"/>
      <c r="E2" s="135"/>
      <c r="F2" s="135"/>
      <c r="G2" s="135"/>
    </row>
    <row r="3" spans="1:7" ht="27.75" customHeight="1" x14ac:dyDescent="0.25">
      <c r="A3" s="15" t="s">
        <v>379</v>
      </c>
      <c r="B3" s="15" t="s">
        <v>380</v>
      </c>
      <c r="C3" s="15" t="s">
        <v>381</v>
      </c>
      <c r="D3" s="15" t="s">
        <v>382</v>
      </c>
      <c r="E3" s="15" t="s">
        <v>383</v>
      </c>
      <c r="F3" s="15" t="s">
        <v>384</v>
      </c>
      <c r="G3" s="15" t="s">
        <v>385</v>
      </c>
    </row>
    <row r="4" spans="1:7" ht="21.75" customHeight="1" x14ac:dyDescent="0.25">
      <c r="A4" s="143" t="s">
        <v>386</v>
      </c>
      <c r="B4" s="143"/>
      <c r="C4" s="143"/>
      <c r="D4" s="143"/>
      <c r="E4" s="143"/>
      <c r="F4" s="143"/>
      <c r="G4" s="143"/>
    </row>
    <row r="5" spans="1:7" ht="19.5" customHeight="1" x14ac:dyDescent="0.25">
      <c r="A5" s="95" t="s">
        <v>387</v>
      </c>
      <c r="B5" s="96">
        <v>180000</v>
      </c>
      <c r="C5" s="96">
        <v>0</v>
      </c>
      <c r="D5" s="96">
        <v>0</v>
      </c>
      <c r="E5" s="97">
        <f t="shared" ref="E5:E17" si="0">B5+C5+D5</f>
        <v>180000</v>
      </c>
      <c r="F5" s="98"/>
      <c r="G5" s="99" t="s">
        <v>388</v>
      </c>
    </row>
    <row r="6" spans="1:7" ht="19.5" customHeight="1" x14ac:dyDescent="0.25">
      <c r="A6" s="95" t="s">
        <v>389</v>
      </c>
      <c r="B6" s="96">
        <v>25000</v>
      </c>
      <c r="C6" s="96">
        <v>0</v>
      </c>
      <c r="D6" s="96">
        <v>0</v>
      </c>
      <c r="E6" s="97">
        <f t="shared" si="0"/>
        <v>25000</v>
      </c>
      <c r="F6" s="98"/>
      <c r="G6" s="99" t="s">
        <v>390</v>
      </c>
    </row>
    <row r="7" spans="1:7" ht="19.5" customHeight="1" x14ac:dyDescent="0.25">
      <c r="A7" s="95" t="s">
        <v>391</v>
      </c>
      <c r="B7" s="96">
        <v>60000</v>
      </c>
      <c r="C7" s="96">
        <v>0</v>
      </c>
      <c r="D7" s="96">
        <v>0</v>
      </c>
      <c r="E7" s="97">
        <f t="shared" si="0"/>
        <v>60000</v>
      </c>
      <c r="F7" s="98"/>
      <c r="G7" s="99" t="s">
        <v>390</v>
      </c>
    </row>
    <row r="8" spans="1:7" ht="19.5" customHeight="1" x14ac:dyDescent="0.25">
      <c r="A8" s="95" t="s">
        <v>392</v>
      </c>
      <c r="B8" s="96">
        <v>35000</v>
      </c>
      <c r="C8" s="96">
        <v>0</v>
      </c>
      <c r="D8" s="96">
        <v>0</v>
      </c>
      <c r="E8" s="97">
        <f t="shared" si="0"/>
        <v>35000</v>
      </c>
      <c r="F8" s="98"/>
      <c r="G8" s="99" t="s">
        <v>393</v>
      </c>
    </row>
    <row r="9" spans="1:7" ht="19.5" customHeight="1" x14ac:dyDescent="0.25">
      <c r="A9" s="95" t="s">
        <v>394</v>
      </c>
      <c r="B9" s="96">
        <v>20000</v>
      </c>
      <c r="C9" s="96">
        <v>0</v>
      </c>
      <c r="D9" s="96">
        <v>0</v>
      </c>
      <c r="E9" s="97">
        <f t="shared" si="0"/>
        <v>20000</v>
      </c>
      <c r="F9" s="98"/>
      <c r="G9" s="99" t="s">
        <v>390</v>
      </c>
    </row>
    <row r="10" spans="1:7" ht="21.75" customHeight="1" x14ac:dyDescent="0.25">
      <c r="A10" s="100" t="s">
        <v>395</v>
      </c>
      <c r="B10" s="101">
        <f>SUM(B5,B6,B7,B8,B9)</f>
        <v>320000</v>
      </c>
      <c r="C10" s="101">
        <f>SUM(C5,C6,C7,C8,C9)</f>
        <v>0</v>
      </c>
      <c r="D10" s="101">
        <f>SUM(D5,D6,D7,D8,D9)</f>
        <v>0</v>
      </c>
      <c r="E10" s="101">
        <f t="shared" si="0"/>
        <v>320000</v>
      </c>
      <c r="F10" s="102"/>
      <c r="G10" s="102"/>
    </row>
    <row r="11" spans="1:7" ht="19.5" customHeight="1" x14ac:dyDescent="0.25">
      <c r="A11" s="103" t="s">
        <v>396</v>
      </c>
      <c r="B11" s="104">
        <v>18000</v>
      </c>
      <c r="C11" s="104">
        <v>18000</v>
      </c>
      <c r="D11" s="104">
        <v>18000</v>
      </c>
      <c r="E11" s="68">
        <f t="shared" si="0"/>
        <v>54000</v>
      </c>
      <c r="F11" s="77"/>
      <c r="G11" s="105" t="s">
        <v>397</v>
      </c>
    </row>
    <row r="12" spans="1:7" ht="19.5" customHeight="1" x14ac:dyDescent="0.25">
      <c r="A12" s="103" t="s">
        <v>398</v>
      </c>
      <c r="B12" s="104">
        <v>5000</v>
      </c>
      <c r="C12" s="104">
        <v>5000</v>
      </c>
      <c r="D12" s="104">
        <v>5000</v>
      </c>
      <c r="E12" s="68">
        <f t="shared" si="0"/>
        <v>15000</v>
      </c>
      <c r="F12" s="77"/>
      <c r="G12" s="105" t="s">
        <v>397</v>
      </c>
    </row>
    <row r="13" spans="1:7" ht="19.5" customHeight="1" x14ac:dyDescent="0.25">
      <c r="A13" s="103" t="s">
        <v>399</v>
      </c>
      <c r="B13" s="104">
        <v>3000</v>
      </c>
      <c r="C13" s="104">
        <v>3000</v>
      </c>
      <c r="D13" s="104">
        <v>3000</v>
      </c>
      <c r="E13" s="68">
        <f t="shared" si="0"/>
        <v>9000</v>
      </c>
      <c r="F13" s="77"/>
      <c r="G13" s="105" t="s">
        <v>397</v>
      </c>
    </row>
    <row r="14" spans="1:7" ht="19.5" customHeight="1" x14ac:dyDescent="0.25">
      <c r="A14" s="103" t="s">
        <v>400</v>
      </c>
      <c r="B14" s="104">
        <v>30000</v>
      </c>
      <c r="C14" s="104">
        <v>30000</v>
      </c>
      <c r="D14" s="104">
        <v>30000</v>
      </c>
      <c r="E14" s="68">
        <f t="shared" si="0"/>
        <v>90000</v>
      </c>
      <c r="F14" s="77"/>
      <c r="G14" s="105" t="s">
        <v>397</v>
      </c>
    </row>
    <row r="15" spans="1:7" ht="19.5" customHeight="1" x14ac:dyDescent="0.25">
      <c r="A15" s="103" t="s">
        <v>401</v>
      </c>
      <c r="B15" s="104">
        <v>40000</v>
      </c>
      <c r="C15" s="104">
        <v>40000</v>
      </c>
      <c r="D15" s="104">
        <v>40000</v>
      </c>
      <c r="E15" s="68">
        <f t="shared" si="0"/>
        <v>120000</v>
      </c>
      <c r="F15" s="77"/>
      <c r="G15" s="105" t="s">
        <v>397</v>
      </c>
    </row>
    <row r="16" spans="1:7" ht="21.75" customHeight="1" x14ac:dyDescent="0.25">
      <c r="A16" s="100" t="s">
        <v>402</v>
      </c>
      <c r="B16" s="101">
        <f>SUM(B11,B12,B13,B14,B15)</f>
        <v>96000</v>
      </c>
      <c r="C16" s="101">
        <f>SUM(C11,C12,C13,C14,C15)</f>
        <v>96000</v>
      </c>
      <c r="D16" s="101">
        <f>SUM(D11,D12,D13,D14,D15)</f>
        <v>96000</v>
      </c>
      <c r="E16" s="101">
        <f t="shared" si="0"/>
        <v>288000</v>
      </c>
      <c r="F16" s="102"/>
      <c r="G16" s="102"/>
    </row>
    <row r="17" spans="1:7" ht="25.5" customHeight="1" x14ac:dyDescent="0.25">
      <c r="A17" s="106" t="s">
        <v>403</v>
      </c>
      <c r="B17" s="107">
        <f>B10+B16</f>
        <v>416000</v>
      </c>
      <c r="C17" s="107">
        <f>C10+C16</f>
        <v>96000</v>
      </c>
      <c r="D17" s="107">
        <f>D10+D16</f>
        <v>96000</v>
      </c>
      <c r="E17" s="107">
        <f t="shared" si="0"/>
        <v>608000</v>
      </c>
      <c r="F17" s="108" t="s">
        <v>404</v>
      </c>
      <c r="G17" s="109" t="s">
        <v>405</v>
      </c>
    </row>
    <row r="19" spans="1:7" ht="21.75" customHeight="1" x14ac:dyDescent="0.25">
      <c r="A19" s="144" t="s">
        <v>406</v>
      </c>
      <c r="B19" s="144"/>
      <c r="C19" s="144"/>
      <c r="D19" s="144"/>
      <c r="E19" s="144"/>
      <c r="F19" s="144"/>
      <c r="G19" s="144"/>
    </row>
    <row r="20" spans="1:7" ht="19.5" customHeight="1" x14ac:dyDescent="0.25">
      <c r="A20" s="110" t="s">
        <v>407</v>
      </c>
      <c r="B20" s="111">
        <v>118200</v>
      </c>
      <c r="C20" s="111">
        <v>118200</v>
      </c>
      <c r="D20" s="111">
        <v>118200</v>
      </c>
      <c r="E20" s="112">
        <f>B20+C20+D20</f>
        <v>354600</v>
      </c>
      <c r="F20" s="75"/>
      <c r="G20" s="113" t="s">
        <v>408</v>
      </c>
    </row>
    <row r="21" spans="1:7" ht="19.5" customHeight="1" x14ac:dyDescent="0.25">
      <c r="A21" s="110" t="s">
        <v>409</v>
      </c>
      <c r="B21" s="111">
        <v>35000</v>
      </c>
      <c r="C21" s="111">
        <v>0</v>
      </c>
      <c r="D21" s="111">
        <v>0</v>
      </c>
      <c r="E21" s="112">
        <f>B21+C21+D21</f>
        <v>35000</v>
      </c>
      <c r="F21" s="75"/>
      <c r="G21" s="113" t="s">
        <v>410</v>
      </c>
    </row>
    <row r="22" spans="1:7" ht="25.5" customHeight="1" x14ac:dyDescent="0.25">
      <c r="A22" s="91" t="s">
        <v>411</v>
      </c>
      <c r="B22" s="92">
        <f>B20+B21</f>
        <v>153200</v>
      </c>
      <c r="C22" s="92">
        <f>C20+C21</f>
        <v>118200</v>
      </c>
      <c r="D22" s="92">
        <f>D20+D21</f>
        <v>118200</v>
      </c>
      <c r="E22" s="92">
        <f>B22+C22+D22</f>
        <v>389600</v>
      </c>
      <c r="F22" s="114">
        <f>E22/E17</f>
        <v>0.64078947368421058</v>
      </c>
      <c r="G22" s="75"/>
    </row>
    <row r="24" spans="1:7" ht="21.75" customHeight="1" x14ac:dyDescent="0.25">
      <c r="A24" s="145" t="s">
        <v>412</v>
      </c>
      <c r="B24" s="145"/>
      <c r="C24" s="145"/>
      <c r="D24" s="145"/>
      <c r="E24" s="145"/>
      <c r="F24" s="145"/>
      <c r="G24" s="145"/>
    </row>
    <row r="25" spans="1:7" ht="19.5" customHeight="1" x14ac:dyDescent="0.25">
      <c r="A25" s="115" t="s">
        <v>413</v>
      </c>
      <c r="B25" s="116">
        <v>73800</v>
      </c>
      <c r="C25" s="116">
        <v>73800</v>
      </c>
      <c r="D25" s="116">
        <v>73800</v>
      </c>
      <c r="E25" s="117">
        <f>B25+C25+D25</f>
        <v>221400</v>
      </c>
      <c r="F25" s="118"/>
      <c r="G25" s="119" t="s">
        <v>414</v>
      </c>
    </row>
    <row r="26" spans="1:7" ht="19.5" customHeight="1" x14ac:dyDescent="0.25">
      <c r="A26" s="115" t="s">
        <v>415</v>
      </c>
      <c r="B26" s="116">
        <v>18000</v>
      </c>
      <c r="C26" s="116">
        <v>0</v>
      </c>
      <c r="D26" s="116">
        <v>0</v>
      </c>
      <c r="E26" s="117">
        <f>B26+C26+D26</f>
        <v>18000</v>
      </c>
      <c r="F26" s="118"/>
      <c r="G26" s="119" t="s">
        <v>416</v>
      </c>
    </row>
    <row r="27" spans="1:7" ht="19.5" customHeight="1" x14ac:dyDescent="0.25">
      <c r="A27" s="115" t="s">
        <v>417</v>
      </c>
      <c r="B27" s="116">
        <v>35000</v>
      </c>
      <c r="C27" s="116">
        <v>0</v>
      </c>
      <c r="D27" s="116">
        <v>0</v>
      </c>
      <c r="E27" s="117">
        <f>B27+C27+D27</f>
        <v>35000</v>
      </c>
      <c r="F27" s="118"/>
      <c r="G27" s="119" t="s">
        <v>410</v>
      </c>
    </row>
    <row r="28" spans="1:7" ht="25.5" customHeight="1" x14ac:dyDescent="0.25">
      <c r="A28" s="120" t="s">
        <v>418</v>
      </c>
      <c r="B28" s="121">
        <f>B25+B26+B27</f>
        <v>126800</v>
      </c>
      <c r="C28" s="121">
        <f>C25+C26+C27</f>
        <v>73800</v>
      </c>
      <c r="D28" s="121">
        <f>D25+D26+D27</f>
        <v>73800</v>
      </c>
      <c r="E28" s="121">
        <f>B28+C28+D28</f>
        <v>274400</v>
      </c>
      <c r="F28" s="122">
        <f>E28/E17</f>
        <v>0.45131578947368423</v>
      </c>
      <c r="G28" s="80"/>
    </row>
    <row r="30" spans="1:7" ht="21.75" customHeight="1" x14ac:dyDescent="0.25">
      <c r="A30" s="146" t="s">
        <v>419</v>
      </c>
      <c r="B30" s="146"/>
      <c r="C30" s="146"/>
      <c r="D30" s="146"/>
      <c r="E30" s="146"/>
      <c r="F30" s="146"/>
      <c r="G30" s="146"/>
    </row>
    <row r="31" spans="1:7" ht="21.75" customHeight="1" x14ac:dyDescent="0.25">
      <c r="A31" s="123" t="s">
        <v>420</v>
      </c>
      <c r="B31" s="124">
        <f>B17-B22</f>
        <v>262800</v>
      </c>
      <c r="C31" s="124">
        <f>C17-C22</f>
        <v>-22200</v>
      </c>
      <c r="D31" s="124">
        <f>D17-D22</f>
        <v>-22200</v>
      </c>
      <c r="E31" s="124">
        <f>B31+C31+D31</f>
        <v>218400</v>
      </c>
      <c r="F31" s="125">
        <f>E31/E17</f>
        <v>0.35921052631578948</v>
      </c>
      <c r="G31" s="113" t="s">
        <v>421</v>
      </c>
    </row>
    <row r="32" spans="1:7" ht="21.75" customHeight="1" x14ac:dyDescent="0.25">
      <c r="A32" s="126" t="s">
        <v>422</v>
      </c>
      <c r="B32" s="71">
        <f>B17-B28</f>
        <v>289200</v>
      </c>
      <c r="C32" s="71">
        <f>C17-C28</f>
        <v>22200</v>
      </c>
      <c r="D32" s="71">
        <f>D17-D28</f>
        <v>22200</v>
      </c>
      <c r="E32" s="71">
        <f>B32+C32+D32</f>
        <v>333600</v>
      </c>
      <c r="F32" s="127">
        <f>E32/E17</f>
        <v>0.54868421052631577</v>
      </c>
      <c r="G32" s="119" t="s">
        <v>423</v>
      </c>
    </row>
    <row r="33" spans="1:7" ht="21.75" customHeight="1" x14ac:dyDescent="0.25">
      <c r="A33" s="128" t="s">
        <v>424</v>
      </c>
      <c r="B33" s="129">
        <f>B22-B28</f>
        <v>26400</v>
      </c>
      <c r="C33" s="129">
        <f>C22-C28</f>
        <v>44400</v>
      </c>
      <c r="D33" s="129">
        <f>D22-D28</f>
        <v>44400</v>
      </c>
      <c r="E33" s="129">
        <f>B33+C33+D33</f>
        <v>115200</v>
      </c>
      <c r="F33" s="130">
        <f>E33/E17</f>
        <v>0.18947368421052632</v>
      </c>
      <c r="G33" s="105" t="s">
        <v>425</v>
      </c>
    </row>
    <row r="35" spans="1:7" ht="31.5" customHeight="1" x14ac:dyDescent="0.25">
      <c r="A35" s="147" t="s">
        <v>426</v>
      </c>
      <c r="B35" s="147"/>
      <c r="C35" s="147"/>
      <c r="D35" s="147"/>
      <c r="E35" s="147"/>
      <c r="F35" s="147"/>
      <c r="G35" s="147"/>
    </row>
  </sheetData>
  <mergeCells count="7">
    <mergeCell ref="A30:G30"/>
    <mergeCell ref="A35:G35"/>
    <mergeCell ref="A1:G1"/>
    <mergeCell ref="A2:G2"/>
    <mergeCell ref="A4:G4"/>
    <mergeCell ref="A19:G19"/>
    <mergeCell ref="A24:G24"/>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0"/>
  <sheetViews>
    <sheetView showGridLines="0" tabSelected="1" zoomScaleNormal="100" workbookViewId="0">
      <selection sqref="A1:B1"/>
    </sheetView>
  </sheetViews>
  <sheetFormatPr defaultColWidth="8.7109375" defaultRowHeight="15" x14ac:dyDescent="0.25"/>
  <cols>
    <col min="1" max="1" width="28" customWidth="1"/>
    <col min="2" max="2" width="55" customWidth="1"/>
  </cols>
  <sheetData>
    <row r="1" spans="1:2" ht="27.75" customHeight="1" x14ac:dyDescent="0.25">
      <c r="A1" s="148" t="s">
        <v>427</v>
      </c>
      <c r="B1" s="148"/>
    </row>
    <row r="2" spans="1:2" ht="18" customHeight="1" x14ac:dyDescent="0.25">
      <c r="A2" s="136" t="s">
        <v>428</v>
      </c>
      <c r="B2" s="136"/>
    </row>
    <row r="3" spans="1:2" ht="18" customHeight="1" x14ac:dyDescent="0.25">
      <c r="A3" s="131" t="s">
        <v>429</v>
      </c>
      <c r="B3" s="132" t="s">
        <v>430</v>
      </c>
    </row>
    <row r="4" spans="1:2" ht="18" customHeight="1" x14ac:dyDescent="0.25">
      <c r="A4" s="133" t="s">
        <v>431</v>
      </c>
      <c r="B4" s="134" t="s">
        <v>432</v>
      </c>
    </row>
    <row r="5" spans="1:2" ht="33.75" customHeight="1" x14ac:dyDescent="0.25">
      <c r="A5" s="131" t="s">
        <v>433</v>
      </c>
      <c r="B5" s="132" t="s">
        <v>434</v>
      </c>
    </row>
    <row r="6" spans="1:2" ht="18" customHeight="1" x14ac:dyDescent="0.25">
      <c r="A6" s="136" t="s">
        <v>435</v>
      </c>
      <c r="B6" s="136"/>
    </row>
    <row r="7" spans="1:2" ht="18" customHeight="1" x14ac:dyDescent="0.25">
      <c r="A7" s="131" t="s">
        <v>436</v>
      </c>
      <c r="B7" s="132" t="s">
        <v>437</v>
      </c>
    </row>
    <row r="8" spans="1:2" ht="18" customHeight="1" x14ac:dyDescent="0.25">
      <c r="A8" s="133" t="s">
        <v>438</v>
      </c>
      <c r="B8" s="134" t="s">
        <v>439</v>
      </c>
    </row>
    <row r="9" spans="1:2" ht="18" customHeight="1" x14ac:dyDescent="0.25">
      <c r="A9" s="131" t="s">
        <v>440</v>
      </c>
      <c r="B9" s="132" t="s">
        <v>441</v>
      </c>
    </row>
    <row r="10" spans="1:2" ht="18" customHeight="1" x14ac:dyDescent="0.25">
      <c r="A10" s="133" t="s">
        <v>442</v>
      </c>
      <c r="B10" s="134" t="s">
        <v>443</v>
      </c>
    </row>
    <row r="11" spans="1:2" ht="18" customHeight="1" x14ac:dyDescent="0.25">
      <c r="A11" s="131" t="s">
        <v>444</v>
      </c>
      <c r="B11" s="132" t="s">
        <v>445</v>
      </c>
    </row>
    <row r="12" spans="1:2" ht="18" customHeight="1" x14ac:dyDescent="0.25">
      <c r="A12" s="133" t="s">
        <v>36</v>
      </c>
      <c r="B12" s="134" t="s">
        <v>446</v>
      </c>
    </row>
    <row r="13" spans="1:2" ht="18" customHeight="1" x14ac:dyDescent="0.25">
      <c r="A13" s="131" t="s">
        <v>447</v>
      </c>
      <c r="B13" s="132" t="s">
        <v>448</v>
      </c>
    </row>
    <row r="14" spans="1:2" ht="18" customHeight="1" x14ac:dyDescent="0.25">
      <c r="A14" s="133" t="s">
        <v>449</v>
      </c>
      <c r="B14" s="134" t="s">
        <v>450</v>
      </c>
    </row>
    <row r="15" spans="1:2" ht="18" customHeight="1" x14ac:dyDescent="0.25">
      <c r="A15" s="131" t="s">
        <v>451</v>
      </c>
      <c r="B15" s="132" t="s">
        <v>452</v>
      </c>
    </row>
    <row r="16" spans="1:2" ht="36.75" customHeight="1" x14ac:dyDescent="0.25">
      <c r="A16" s="133" t="s">
        <v>453</v>
      </c>
      <c r="B16" s="134" t="s">
        <v>454</v>
      </c>
    </row>
    <row r="17" spans="1:2" ht="18" customHeight="1" x14ac:dyDescent="0.25">
      <c r="A17" s="136" t="s">
        <v>455</v>
      </c>
      <c r="B17" s="136"/>
    </row>
    <row r="18" spans="1:2" ht="18" customHeight="1" x14ac:dyDescent="0.25">
      <c r="A18" s="133" t="s">
        <v>456</v>
      </c>
      <c r="B18" s="134" t="s">
        <v>457</v>
      </c>
    </row>
    <row r="19" spans="1:2" ht="18" customHeight="1" x14ac:dyDescent="0.25">
      <c r="A19" s="131" t="s">
        <v>458</v>
      </c>
      <c r="B19" s="132" t="s">
        <v>459</v>
      </c>
    </row>
    <row r="20" spans="1:2" ht="18" customHeight="1" x14ac:dyDescent="0.25">
      <c r="A20" s="133" t="s">
        <v>460</v>
      </c>
      <c r="B20" s="134" t="s">
        <v>461</v>
      </c>
    </row>
    <row r="21" spans="1:2" ht="18" customHeight="1" x14ac:dyDescent="0.25">
      <c r="A21" s="131" t="s">
        <v>462</v>
      </c>
      <c r="B21" s="132" t="s">
        <v>463</v>
      </c>
    </row>
    <row r="22" spans="1:2" ht="18" customHeight="1" x14ac:dyDescent="0.25">
      <c r="A22" s="133" t="s">
        <v>464</v>
      </c>
      <c r="B22" s="134" t="s">
        <v>465</v>
      </c>
    </row>
    <row r="23" spans="1:2" ht="18" customHeight="1" x14ac:dyDescent="0.25">
      <c r="A23" s="131" t="s">
        <v>466</v>
      </c>
      <c r="B23" s="132" t="s">
        <v>467</v>
      </c>
    </row>
    <row r="24" spans="1:2" ht="18" customHeight="1" x14ac:dyDescent="0.25">
      <c r="A24" s="133" t="s">
        <v>468</v>
      </c>
      <c r="B24" s="134" t="s">
        <v>469</v>
      </c>
    </row>
    <row r="25" spans="1:2" ht="18" customHeight="1" x14ac:dyDescent="0.25">
      <c r="A25" s="131" t="s">
        <v>470</v>
      </c>
      <c r="B25" s="132" t="s">
        <v>471</v>
      </c>
    </row>
    <row r="26" spans="1:2" ht="18" customHeight="1" x14ac:dyDescent="0.25">
      <c r="A26" s="133" t="s">
        <v>472</v>
      </c>
      <c r="B26" s="134" t="s">
        <v>473</v>
      </c>
    </row>
    <row r="27" spans="1:2" ht="18" customHeight="1" x14ac:dyDescent="0.25">
      <c r="A27" s="131" t="s">
        <v>474</v>
      </c>
      <c r="B27" s="132" t="s">
        <v>475</v>
      </c>
    </row>
    <row r="28" spans="1:2" ht="18" customHeight="1" x14ac:dyDescent="0.25">
      <c r="A28" s="133" t="s">
        <v>476</v>
      </c>
      <c r="B28" s="134" t="s">
        <v>477</v>
      </c>
    </row>
    <row r="29" spans="1:2" ht="18" customHeight="1" x14ac:dyDescent="0.25">
      <c r="A29" s="131" t="s">
        <v>478</v>
      </c>
      <c r="B29" s="132" t="s">
        <v>479</v>
      </c>
    </row>
    <row r="30" spans="1:2" ht="18" customHeight="1" x14ac:dyDescent="0.25">
      <c r="A30" s="133" t="s">
        <v>480</v>
      </c>
      <c r="B30" s="134" t="s">
        <v>481</v>
      </c>
    </row>
  </sheetData>
  <mergeCells count="4">
    <mergeCell ref="A1:B1"/>
    <mergeCell ref="A2:B2"/>
    <mergeCell ref="A6:B6"/>
    <mergeCell ref="A17:B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Werkbladen</vt:lpstr>
      </vt:variant>
      <vt:variant>
        <vt:i4>6</vt:i4>
      </vt:variant>
    </vt:vector>
  </HeadingPairs>
  <TitlesOfParts>
    <vt:vector size="6" baseType="lpstr">
      <vt:lpstr>Instance Inventaris</vt:lpstr>
      <vt:lpstr>SKU Onderbouwing</vt:lpstr>
      <vt:lpstr>AHB &amp; Reserved Instances</vt:lpstr>
      <vt:lpstr>Dev-Test Omgevingen</vt:lpstr>
      <vt:lpstr>3-Jaar TCO Vergelijking</vt:lpstr>
      <vt:lpstr>Legenda &amp; Aannames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Bjorn Pacquet - Wopaco</cp:lastModifiedBy>
  <cp:revision>0</cp:revision>
  <dcterms:created xsi:type="dcterms:W3CDTF">2026-05-31T10:51:58Z</dcterms:created>
  <dcterms:modified xsi:type="dcterms:W3CDTF">2026-06-03T11:07:59Z</dcterms:modified>
  <dc:language>en-US</dc:language>
</cp:coreProperties>
</file>